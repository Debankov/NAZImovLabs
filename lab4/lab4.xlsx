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0" windowWidth="22260" windowHeight="12648"/>
  </bookViews>
  <sheets>
    <sheet name="Лист1" sheetId="1" r:id="rId1"/>
  </sheet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4" i="1" l="1"/>
  <c r="F45" i="1"/>
  <c r="F46" i="1"/>
  <c r="F47" i="1"/>
  <c r="F48" i="1"/>
  <c r="F49" i="1"/>
  <c r="F50" i="1"/>
  <c r="F43" i="1"/>
  <c r="E44" i="1"/>
  <c r="E45" i="1"/>
  <c r="E46" i="1"/>
  <c r="E47" i="1"/>
  <c r="E48" i="1"/>
  <c r="E49" i="1"/>
  <c r="E50" i="1"/>
  <c r="E43" i="1"/>
  <c r="D44" i="1"/>
  <c r="D45" i="1"/>
  <c r="D46" i="1"/>
  <c r="D47" i="1"/>
  <c r="D48" i="1"/>
  <c r="D49" i="1"/>
  <c r="D50" i="1"/>
  <c r="D43" i="1"/>
  <c r="F34" i="1"/>
  <c r="F35" i="1"/>
  <c r="F36" i="1"/>
  <c r="F37" i="1"/>
  <c r="F38" i="1"/>
  <c r="F39" i="1"/>
  <c r="F40" i="1"/>
  <c r="F33" i="1"/>
  <c r="E34" i="1"/>
  <c r="E35" i="1"/>
  <c r="E36" i="1"/>
  <c r="E37" i="1"/>
  <c r="E38" i="1"/>
  <c r="E39" i="1"/>
  <c r="E40" i="1"/>
  <c r="E33" i="1"/>
  <c r="D34" i="1"/>
  <c r="D35" i="1"/>
  <c r="D36" i="1"/>
  <c r="D37" i="1"/>
  <c r="D38" i="1"/>
  <c r="D39" i="1"/>
  <c r="D40" i="1"/>
  <c r="D33" i="1"/>
  <c r="G24" i="1"/>
  <c r="G25" i="1"/>
  <c r="G26" i="1"/>
  <c r="G27" i="1"/>
  <c r="G28" i="1"/>
  <c r="G29" i="1"/>
  <c r="G30" i="1"/>
  <c r="G23" i="1"/>
  <c r="F24" i="1"/>
  <c r="F25" i="1"/>
  <c r="F26" i="1"/>
  <c r="F27" i="1"/>
  <c r="F28" i="1"/>
  <c r="F29" i="1"/>
  <c r="F30" i="1"/>
  <c r="F23" i="1"/>
  <c r="E24" i="1"/>
  <c r="H24" i="1" s="1"/>
  <c r="E25" i="1"/>
  <c r="H25" i="1" s="1"/>
  <c r="E26" i="1"/>
  <c r="H26" i="1" s="1"/>
  <c r="E27" i="1"/>
  <c r="E28" i="1"/>
  <c r="E29" i="1"/>
  <c r="E30" i="1"/>
  <c r="E23" i="1"/>
  <c r="D24" i="1"/>
  <c r="D25" i="1"/>
  <c r="D26" i="1"/>
  <c r="D27" i="1"/>
  <c r="H27" i="1" s="1"/>
  <c r="D28" i="1"/>
  <c r="H28" i="1" s="1"/>
  <c r="D29" i="1"/>
  <c r="H29" i="1" s="1"/>
  <c r="D30" i="1"/>
  <c r="H30" i="1" s="1"/>
  <c r="D23" i="1"/>
  <c r="H23" i="1" s="1"/>
  <c r="C30" i="1"/>
  <c r="B30" i="1"/>
  <c r="A30" i="1"/>
  <c r="C29" i="1"/>
  <c r="B29" i="1"/>
  <c r="A29" i="1"/>
  <c r="C28" i="1"/>
  <c r="B28" i="1"/>
  <c r="A28" i="1"/>
  <c r="C27" i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D14" i="1"/>
  <c r="D15" i="1"/>
  <c r="D16" i="1"/>
  <c r="D17" i="1"/>
  <c r="D18" i="1"/>
  <c r="H18" i="1" s="1"/>
  <c r="D19" i="1"/>
  <c r="H19" i="1" s="1"/>
  <c r="D20" i="1"/>
  <c r="H20" i="1" s="1"/>
  <c r="D13" i="1"/>
  <c r="H13" i="1" s="1"/>
  <c r="H14" i="1"/>
  <c r="H15" i="1"/>
  <c r="H16" i="1"/>
  <c r="H17" i="1"/>
  <c r="G14" i="1"/>
  <c r="G15" i="1"/>
  <c r="G16" i="1"/>
  <c r="G17" i="1"/>
  <c r="G18" i="1"/>
  <c r="G19" i="1"/>
  <c r="G20" i="1"/>
  <c r="G13" i="1"/>
  <c r="E14" i="1"/>
  <c r="E15" i="1"/>
  <c r="E16" i="1"/>
  <c r="E17" i="1"/>
  <c r="E18" i="1"/>
  <c r="E19" i="1"/>
  <c r="E20" i="1"/>
  <c r="E13" i="1"/>
  <c r="F14" i="1"/>
  <c r="F15" i="1"/>
  <c r="F16" i="1"/>
  <c r="F17" i="1"/>
  <c r="F18" i="1"/>
  <c r="F19" i="1"/>
  <c r="F20" i="1"/>
  <c r="F13" i="1"/>
  <c r="H2" i="1"/>
  <c r="E3" i="1"/>
  <c r="E4" i="1"/>
  <c r="E5" i="1"/>
  <c r="E6" i="1"/>
  <c r="E7" i="1"/>
  <c r="I7" i="1" s="1"/>
  <c r="E8" i="1"/>
  <c r="I8" i="1" s="1"/>
  <c r="E9" i="1"/>
  <c r="I9" i="1" s="1"/>
  <c r="E2" i="1"/>
  <c r="C50" i="1"/>
  <c r="B50" i="1"/>
  <c r="A50" i="1"/>
  <c r="C49" i="1"/>
  <c r="B49" i="1"/>
  <c r="A49" i="1"/>
  <c r="C48" i="1"/>
  <c r="B48" i="1"/>
  <c r="A48" i="1"/>
  <c r="C47" i="1"/>
  <c r="B47" i="1"/>
  <c r="A47" i="1"/>
  <c r="C46" i="1"/>
  <c r="B46" i="1"/>
  <c r="A46" i="1"/>
  <c r="C45" i="1"/>
  <c r="B45" i="1"/>
  <c r="A45" i="1"/>
  <c r="C44" i="1"/>
  <c r="B44" i="1"/>
  <c r="A44" i="1"/>
  <c r="C43" i="1"/>
  <c r="B43" i="1"/>
  <c r="A43" i="1"/>
  <c r="C40" i="1"/>
  <c r="B40" i="1"/>
  <c r="A40" i="1"/>
  <c r="C39" i="1"/>
  <c r="B39" i="1"/>
  <c r="A39" i="1"/>
  <c r="C38" i="1"/>
  <c r="B38" i="1"/>
  <c r="A38" i="1"/>
  <c r="C37" i="1"/>
  <c r="B37" i="1"/>
  <c r="A37" i="1"/>
  <c r="C36" i="1"/>
  <c r="B36" i="1"/>
  <c r="A36" i="1"/>
  <c r="C35" i="1"/>
  <c r="B35" i="1"/>
  <c r="A35" i="1"/>
  <c r="C34" i="1"/>
  <c r="B34" i="1"/>
  <c r="A34" i="1"/>
  <c r="C33" i="1"/>
  <c r="B33" i="1"/>
  <c r="A33" i="1"/>
  <c r="C20" i="1"/>
  <c r="B20" i="1"/>
  <c r="A20" i="1"/>
  <c r="C19" i="1"/>
  <c r="B19" i="1"/>
  <c r="A19" i="1"/>
  <c r="C18" i="1"/>
  <c r="B18" i="1"/>
  <c r="A18" i="1"/>
  <c r="C17" i="1"/>
  <c r="B17" i="1"/>
  <c r="A17" i="1"/>
  <c r="C16" i="1"/>
  <c r="B16" i="1"/>
  <c r="A16" i="1"/>
  <c r="C15" i="1"/>
  <c r="B15" i="1"/>
  <c r="A15" i="1"/>
  <c r="C14" i="1"/>
  <c r="B14" i="1"/>
  <c r="A14" i="1"/>
  <c r="C13" i="1"/>
  <c r="B13" i="1"/>
  <c r="A13" i="1"/>
  <c r="I3" i="1"/>
  <c r="I4" i="1"/>
  <c r="I5" i="1"/>
  <c r="I6" i="1"/>
  <c r="I2" i="1"/>
  <c r="H4" i="1" l="1"/>
  <c r="G4" i="1"/>
  <c r="F4" i="1"/>
  <c r="B4" i="1"/>
  <c r="C4" i="1"/>
  <c r="D4" i="1" s="1"/>
  <c r="A4" i="1"/>
  <c r="C9" i="1" l="1"/>
  <c r="D9" i="1" s="1"/>
  <c r="A9" i="1"/>
  <c r="F9" i="1" s="1"/>
  <c r="B9" i="1"/>
  <c r="C8" i="1"/>
  <c r="D8" i="1" s="1"/>
  <c r="B8" i="1"/>
  <c r="A8" i="1"/>
  <c r="F8" i="1" s="1"/>
  <c r="C7" i="1"/>
  <c r="D7" i="1" s="1"/>
  <c r="B7" i="1"/>
  <c r="A7" i="1"/>
  <c r="F7" i="1" s="1"/>
  <c r="A6" i="1"/>
  <c r="F6" i="1" s="1"/>
  <c r="C6" i="1"/>
  <c r="D6" i="1" s="1"/>
  <c r="B6" i="1"/>
  <c r="C5" i="1"/>
  <c r="D5" i="1" s="1"/>
  <c r="B5" i="1"/>
  <c r="A5" i="1"/>
  <c r="F5" i="1" s="1"/>
  <c r="C3" i="1"/>
  <c r="D3" i="1" s="1"/>
  <c r="B3" i="1"/>
  <c r="A3" i="1"/>
  <c r="F3" i="1" s="1"/>
  <c r="C2" i="1"/>
  <c r="D2" i="1" s="1"/>
  <c r="B2" i="1"/>
  <c r="A2" i="1"/>
  <c r="F2" i="1" s="1"/>
  <c r="H5" i="1" l="1"/>
  <c r="H9" i="1"/>
  <c r="H7" i="1"/>
  <c r="G2" i="1"/>
  <c r="G8" i="1"/>
  <c r="H8" i="1" s="1"/>
  <c r="G3" i="1"/>
  <c r="H3" i="1" s="1"/>
  <c r="G9" i="1"/>
  <c r="G5" i="1"/>
  <c r="G6" i="1"/>
  <c r="H6" i="1" s="1"/>
  <c r="G7" i="1"/>
</calcChain>
</file>

<file path=xl/sharedStrings.xml><?xml version="1.0" encoding="utf-8"?>
<sst xmlns="http://schemas.openxmlformats.org/spreadsheetml/2006/main" count="45" uniqueCount="33">
  <si>
    <t>x</t>
  </si>
  <si>
    <t>y</t>
  </si>
  <si>
    <t>z</t>
  </si>
  <si>
    <t>!z</t>
  </si>
  <si>
    <t xml:space="preserve">!z ↔ y
</t>
  </si>
  <si>
    <t>!x</t>
  </si>
  <si>
    <t>y⊕!x</t>
  </si>
  <si>
    <t>!z |( y⊕!x)</t>
  </si>
  <si>
    <t>СДНФ</t>
  </si>
  <si>
    <t>СКНФ</t>
  </si>
  <si>
    <t>Результат СДНФ</t>
  </si>
  <si>
    <t>ССДНФ</t>
  </si>
  <si>
    <t>ССКНФ</t>
  </si>
  <si>
    <t>(!z ↔ y) &lt;-&gt; (!z |( y⊕!x))</t>
  </si>
  <si>
    <t>(!x /\ !y /\ z)</t>
  </si>
  <si>
    <t xml:space="preserve"> ( !x /\ y /\ !z ) </t>
  </si>
  <si>
    <t xml:space="preserve">( !x /\ y /\ z) </t>
  </si>
  <si>
    <t>f(x,y,z) = ( x /\ y /\ !z ) \/ (!x /\ y /\ z) \/ ( !x /\ !y /\ z ) \/ ( !x /\ y /\ !z)</t>
  </si>
  <si>
    <t xml:space="preserve">(  x /\ y /\ !z) </t>
  </si>
  <si>
    <t>f (x,y,z) = (!x \/ !y \/ !z) /\ ( !x \/ y \/ !z) /\ (!x \/ y \/ z ) /\ (x \/ y \/ z)</t>
  </si>
  <si>
    <t>!x \/ !y \/ !z</t>
  </si>
  <si>
    <t>!x \/ y \/ !z</t>
  </si>
  <si>
    <t>!x \/ y \/ z</t>
  </si>
  <si>
    <t>x \/ y \/ z</t>
  </si>
  <si>
    <t>результат СКНФ</t>
  </si>
  <si>
    <t>y /\ !z</t>
  </si>
  <si>
    <t>!x /\ z</t>
  </si>
  <si>
    <t>f(x,y,z) = (y ∧ !z) ∨ (!x ∧ z)</t>
  </si>
  <si>
    <t>(y ∧ !z) ∨ (!x ∧ z)</t>
  </si>
  <si>
    <t>f(x,y,z) = (¬x ∨ ¬z) ∧ (y ∨ z)</t>
  </si>
  <si>
    <t xml:space="preserve">!x \/ !z </t>
  </si>
  <si>
    <t>y \/ z</t>
  </si>
  <si>
    <t>f(x,y,z) =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</si>
</sst>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name val="Segoe UI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0" borderId="1" xfId="0" applyBorder="1"/>
    <xf numFmtId="0" fontId="0" fillId="0" borderId="3" xfId="0" applyBorder="1" applyAlignment="1"/>
    <xf numFmtId="0" fontId="0" fillId="0" borderId="4" xfId="0" applyBorder="1"/>
    <xf numFmtId="0" fontId="0" fillId="0" borderId="2" xfId="0" applyBorder="1"/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0" borderId="0" xfId="0" applyBorder="1"/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0" borderId="0" xfId="0" applyAlignment="1"/>
    <xf numFmtId="0" fontId="0" fillId="0" borderId="3" xfId="0" applyBorder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tabSelected="1" topLeftCell="A28" zoomScaleNormal="100" workbookViewId="0">
      <selection activeCell="F48" sqref="F48:F50"/>
    </sheetView>
  </sheetViews>
  <sheetFormatPr defaultRowHeight="14.4" x14ac:dyDescent="0.3"/>
  <cols>
    <col min="4" max="4" width="11.109375" bestFit="1" customWidth="1"/>
    <col min="5" max="5" width="11.33203125" bestFit="1" customWidth="1"/>
    <col min="6" max="6" width="11.109375" bestFit="1" customWidth="1"/>
    <col min="7" max="7" width="13.5546875" bestFit="1" customWidth="1"/>
    <col min="8" max="8" width="12" bestFit="1" customWidth="1"/>
    <col min="9" max="9" width="22.21875" bestFit="1" customWidth="1"/>
    <col min="13" max="13" width="10.44140625" bestFit="1" customWidth="1"/>
    <col min="14" max="14" width="9.77734375" bestFit="1" customWidth="1"/>
    <col min="15" max="15" width="9.109375" bestFit="1" customWidth="1"/>
    <col min="16" max="16" width="8.44140625" bestFit="1" customWidth="1"/>
  </cols>
  <sheetData>
    <row r="1" spans="1:10" ht="24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13</v>
      </c>
    </row>
    <row r="2" spans="1:10" x14ac:dyDescent="0.3">
      <c r="A2" s="3" t="b">
        <f>TRUE</f>
        <v>1</v>
      </c>
      <c r="B2" s="3" t="b">
        <f>TRUE</f>
        <v>1</v>
      </c>
      <c r="C2" s="3" t="b">
        <f>TRUE</f>
        <v>1</v>
      </c>
      <c r="D2" s="3" t="b">
        <f>NOT(C2)</f>
        <v>0</v>
      </c>
      <c r="E2" s="3" t="b">
        <f>D2=B2</f>
        <v>0</v>
      </c>
      <c r="F2" s="3" t="b">
        <f t="shared" ref="F2:F9" si="0">NOT(A2)</f>
        <v>0</v>
      </c>
      <c r="G2" s="3" t="b">
        <f t="shared" ref="G2:G9" si="1">B2&lt;&gt;F2</f>
        <v>1</v>
      </c>
      <c r="H2" s="3" t="b">
        <f>OR(D2,G2)</f>
        <v>1</v>
      </c>
      <c r="I2" s="11" t="b">
        <f>E2=H2</f>
        <v>0</v>
      </c>
    </row>
    <row r="3" spans="1:10" x14ac:dyDescent="0.3">
      <c r="A3" s="3" t="b">
        <f>TRUE</f>
        <v>1</v>
      </c>
      <c r="B3" s="3" t="b">
        <f>TRUE</f>
        <v>1</v>
      </c>
      <c r="C3" s="3" t="b">
        <f>FALSE</f>
        <v>0</v>
      </c>
      <c r="D3" s="3" t="b">
        <f t="shared" ref="D3:D4" si="2">NOT(C3)</f>
        <v>1</v>
      </c>
      <c r="E3" s="3" t="b">
        <f t="shared" ref="E3:E9" si="3">D3=B3</f>
        <v>1</v>
      </c>
      <c r="F3" s="3" t="b">
        <f t="shared" si="0"/>
        <v>0</v>
      </c>
      <c r="G3" s="3" t="b">
        <f t="shared" si="1"/>
        <v>1</v>
      </c>
      <c r="H3" s="3" t="b">
        <f t="shared" ref="H3:H4" si="4">OR(D3,G3)</f>
        <v>1</v>
      </c>
      <c r="I3" s="10" t="b">
        <f t="shared" ref="I3:I9" si="5">E3=H3</f>
        <v>1</v>
      </c>
    </row>
    <row r="4" spans="1:10" x14ac:dyDescent="0.3">
      <c r="A4" t="b">
        <f>TRUE</f>
        <v>1</v>
      </c>
      <c r="B4" s="3" t="b">
        <f>FALSE</f>
        <v>0</v>
      </c>
      <c r="C4" s="3" t="b">
        <f>TRUE</f>
        <v>1</v>
      </c>
      <c r="D4" s="3" t="b">
        <f t="shared" si="2"/>
        <v>0</v>
      </c>
      <c r="E4" s="3" t="b">
        <f t="shared" si="3"/>
        <v>1</v>
      </c>
      <c r="F4" s="3" t="b">
        <f t="shared" si="0"/>
        <v>0</v>
      </c>
      <c r="G4" s="3" t="b">
        <f t="shared" si="1"/>
        <v>0</v>
      </c>
      <c r="H4" s="3" t="b">
        <f t="shared" si="4"/>
        <v>0</v>
      </c>
      <c r="I4" s="11" t="b">
        <f t="shared" si="5"/>
        <v>0</v>
      </c>
    </row>
    <row r="5" spans="1:10" x14ac:dyDescent="0.3">
      <c r="A5" s="3" t="b">
        <f>TRUE</f>
        <v>1</v>
      </c>
      <c r="B5" s="3" t="b">
        <f>FALSE</f>
        <v>0</v>
      </c>
      <c r="C5" s="3" t="b">
        <f>FALSE</f>
        <v>0</v>
      </c>
      <c r="D5" s="3" t="b">
        <f>NOT(C5)</f>
        <v>1</v>
      </c>
      <c r="E5" s="3" t="b">
        <f t="shared" si="3"/>
        <v>0</v>
      </c>
      <c r="F5" s="3" t="b">
        <f t="shared" si="0"/>
        <v>0</v>
      </c>
      <c r="G5" s="3" t="b">
        <f t="shared" si="1"/>
        <v>0</v>
      </c>
      <c r="H5" s="3" t="b">
        <f>OR(D5,G5)</f>
        <v>1</v>
      </c>
      <c r="I5" s="11" t="b">
        <f t="shared" si="5"/>
        <v>0</v>
      </c>
    </row>
    <row r="6" spans="1:10" x14ac:dyDescent="0.3">
      <c r="A6" s="3" t="b">
        <f>FALSE</f>
        <v>0</v>
      </c>
      <c r="B6" s="3" t="b">
        <f>FALSE</f>
        <v>0</v>
      </c>
      <c r="C6" s="3" t="b">
        <f>FALSE</f>
        <v>0</v>
      </c>
      <c r="D6" s="3" t="b">
        <f>NOT(C6)</f>
        <v>1</v>
      </c>
      <c r="E6" s="3" t="b">
        <f t="shared" si="3"/>
        <v>0</v>
      </c>
      <c r="F6" s="3" t="b">
        <f t="shared" si="0"/>
        <v>1</v>
      </c>
      <c r="G6" s="3" t="b">
        <f t="shared" si="1"/>
        <v>1</v>
      </c>
      <c r="H6" s="3" t="b">
        <f>OR(D6,G6)</f>
        <v>1</v>
      </c>
      <c r="I6" s="11" t="b">
        <f t="shared" si="5"/>
        <v>0</v>
      </c>
    </row>
    <row r="7" spans="1:10" x14ac:dyDescent="0.3">
      <c r="A7" s="3" t="b">
        <f>FALSE</f>
        <v>0</v>
      </c>
      <c r="B7" s="3" t="b">
        <f>TRUE</f>
        <v>1</v>
      </c>
      <c r="C7" s="3" t="b">
        <f>TRUE</f>
        <v>1</v>
      </c>
      <c r="D7" s="3" t="b">
        <f>NOT(C7)</f>
        <v>0</v>
      </c>
      <c r="E7" s="3" t="b">
        <f t="shared" si="3"/>
        <v>0</v>
      </c>
      <c r="F7" s="3" t="b">
        <f t="shared" si="0"/>
        <v>1</v>
      </c>
      <c r="G7" s="3" t="b">
        <f t="shared" si="1"/>
        <v>0</v>
      </c>
      <c r="H7" s="3" t="b">
        <f>OR(D7,G7)</f>
        <v>0</v>
      </c>
      <c r="I7" s="10" t="b">
        <f t="shared" si="5"/>
        <v>1</v>
      </c>
    </row>
    <row r="8" spans="1:10" x14ac:dyDescent="0.3">
      <c r="A8" s="3" t="b">
        <f>FALSE</f>
        <v>0</v>
      </c>
      <c r="B8" s="3" t="b">
        <f>FALSE</f>
        <v>0</v>
      </c>
      <c r="C8" s="3" t="b">
        <f>TRUE</f>
        <v>1</v>
      </c>
      <c r="D8" s="3" t="b">
        <f>NOT(C8)</f>
        <v>0</v>
      </c>
      <c r="E8" s="3" t="b">
        <f t="shared" si="3"/>
        <v>1</v>
      </c>
      <c r="F8" s="3" t="b">
        <f t="shared" si="0"/>
        <v>1</v>
      </c>
      <c r="G8" s="3" t="b">
        <f t="shared" si="1"/>
        <v>1</v>
      </c>
      <c r="H8" s="3" t="b">
        <f>OR(D8,G8)</f>
        <v>1</v>
      </c>
      <c r="I8" s="10" t="b">
        <f t="shared" si="5"/>
        <v>1</v>
      </c>
    </row>
    <row r="9" spans="1:10" x14ac:dyDescent="0.3">
      <c r="A9" s="3" t="b">
        <f>FALSE</f>
        <v>0</v>
      </c>
      <c r="B9" s="3" t="b">
        <f>TRUE</f>
        <v>1</v>
      </c>
      <c r="C9" s="3" t="b">
        <f>FALSE</f>
        <v>0</v>
      </c>
      <c r="D9" s="3" t="b">
        <f>NOT(C9)</f>
        <v>1</v>
      </c>
      <c r="E9" s="3" t="b">
        <f t="shared" si="3"/>
        <v>1</v>
      </c>
      <c r="F9" s="3" t="b">
        <f t="shared" si="0"/>
        <v>1</v>
      </c>
      <c r="G9" s="3" t="b">
        <f t="shared" si="1"/>
        <v>0</v>
      </c>
      <c r="H9" s="3" t="b">
        <f>OR(D9,G9)</f>
        <v>1</v>
      </c>
      <c r="I9" s="10" t="b">
        <f t="shared" si="5"/>
        <v>1</v>
      </c>
    </row>
    <row r="10" spans="1:10" x14ac:dyDescent="0.3">
      <c r="B10" s="4"/>
      <c r="C10" s="4"/>
      <c r="D10" s="4"/>
      <c r="E10" s="4"/>
      <c r="F10" s="4"/>
      <c r="G10" s="4"/>
      <c r="H10" s="4"/>
    </row>
    <row r="11" spans="1:10" x14ac:dyDescent="0.3">
      <c r="A11" s="4" t="s">
        <v>8</v>
      </c>
      <c r="B11" s="7" t="s">
        <v>17</v>
      </c>
      <c r="C11" s="7"/>
      <c r="D11" s="7"/>
      <c r="E11" s="7"/>
      <c r="F11" s="7"/>
      <c r="G11" s="7"/>
      <c r="H11" s="7"/>
    </row>
    <row r="12" spans="1:10" ht="15" thickBot="1" x14ac:dyDescent="0.35">
      <c r="A12" s="6" t="s">
        <v>0</v>
      </c>
      <c r="B12" s="6" t="s">
        <v>1</v>
      </c>
      <c r="C12" s="6" t="s">
        <v>2</v>
      </c>
      <c r="D12" s="6" t="s">
        <v>18</v>
      </c>
      <c r="E12" s="6" t="s">
        <v>16</v>
      </c>
      <c r="F12" s="6" t="s">
        <v>14</v>
      </c>
      <c r="G12" s="6" t="s">
        <v>15</v>
      </c>
      <c r="H12" s="8" t="s">
        <v>10</v>
      </c>
      <c r="I12" s="8"/>
    </row>
    <row r="13" spans="1:10" ht="15" thickBot="1" x14ac:dyDescent="0.35">
      <c r="A13" s="3" t="b">
        <f>TRUE</f>
        <v>1</v>
      </c>
      <c r="B13" s="3" t="b">
        <f>TRUE</f>
        <v>1</v>
      </c>
      <c r="C13" s="3" t="b">
        <f>TRUE</f>
        <v>1</v>
      </c>
      <c r="D13" s="5" t="b">
        <f>AND(A13,B13,NOT(C13))</f>
        <v>0</v>
      </c>
      <c r="E13" s="5" t="b">
        <f>AND(NOT(A13),B13,C13)</f>
        <v>0</v>
      </c>
      <c r="F13" s="5" t="b">
        <f>AND(NOT(A13),NOT(B13),C13)</f>
        <v>0</v>
      </c>
      <c r="G13" s="5" t="b">
        <f>AND(NOT(A13),B13,(NOT(C13)))</f>
        <v>0</v>
      </c>
      <c r="H13" s="15" t="b">
        <f>OR(D13,E13)</f>
        <v>0</v>
      </c>
      <c r="I13" s="16"/>
      <c r="J13" s="12"/>
    </row>
    <row r="14" spans="1:10" ht="15" thickBot="1" x14ac:dyDescent="0.35">
      <c r="A14" s="3" t="b">
        <f>TRUE</f>
        <v>1</v>
      </c>
      <c r="B14" s="3" t="b">
        <f>TRUE</f>
        <v>1</v>
      </c>
      <c r="C14" s="3" t="b">
        <f>FALSE</f>
        <v>0</v>
      </c>
      <c r="D14" s="5" t="b">
        <f t="shared" ref="D14:D20" si="6">AND(A14,B14,NOT(C14))</f>
        <v>1</v>
      </c>
      <c r="E14" s="5" t="b">
        <f t="shared" ref="E14:E20" si="7">AND(NOT(A14),B14,C14)</f>
        <v>0</v>
      </c>
      <c r="F14" s="5" t="b">
        <f t="shared" ref="F14:F20" si="8">AND(NOT(A14),NOT(B14),C14)</f>
        <v>0</v>
      </c>
      <c r="G14" s="5" t="b">
        <f t="shared" ref="G14:G20" si="9">AND(NOT(A14),B14,(NOT(C14)))</f>
        <v>0</v>
      </c>
      <c r="H14" s="13" t="b">
        <f t="shared" ref="H14:H20" si="10">OR(D14:G14)</f>
        <v>1</v>
      </c>
      <c r="I14" s="14"/>
      <c r="J14" s="12"/>
    </row>
    <row r="15" spans="1:10" ht="15" thickBot="1" x14ac:dyDescent="0.35">
      <c r="A15" t="b">
        <f>TRUE</f>
        <v>1</v>
      </c>
      <c r="B15" s="3" t="b">
        <f>FALSE</f>
        <v>0</v>
      </c>
      <c r="C15" s="3" t="b">
        <f>TRUE</f>
        <v>1</v>
      </c>
      <c r="D15" s="5" t="b">
        <f t="shared" si="6"/>
        <v>0</v>
      </c>
      <c r="E15" s="5" t="b">
        <f t="shared" si="7"/>
        <v>0</v>
      </c>
      <c r="F15" s="5" t="b">
        <f t="shared" si="8"/>
        <v>0</v>
      </c>
      <c r="G15" s="5" t="b">
        <f t="shared" si="9"/>
        <v>0</v>
      </c>
      <c r="H15" s="15" t="b">
        <f t="shared" si="10"/>
        <v>0</v>
      </c>
      <c r="I15" s="16"/>
      <c r="J15" s="12"/>
    </row>
    <row r="16" spans="1:10" ht="15" thickBot="1" x14ac:dyDescent="0.35">
      <c r="A16" s="3" t="b">
        <f>TRUE</f>
        <v>1</v>
      </c>
      <c r="B16" s="3" t="b">
        <f>FALSE</f>
        <v>0</v>
      </c>
      <c r="C16" s="3" t="b">
        <f>FALSE</f>
        <v>0</v>
      </c>
      <c r="D16" s="5" t="b">
        <f t="shared" si="6"/>
        <v>0</v>
      </c>
      <c r="E16" s="5" t="b">
        <f t="shared" si="7"/>
        <v>0</v>
      </c>
      <c r="F16" s="5" t="b">
        <f t="shared" si="8"/>
        <v>0</v>
      </c>
      <c r="G16" s="5" t="b">
        <f t="shared" si="9"/>
        <v>0</v>
      </c>
      <c r="H16" s="15" t="b">
        <f t="shared" si="10"/>
        <v>0</v>
      </c>
      <c r="I16" s="16"/>
      <c r="J16" s="12"/>
    </row>
    <row r="17" spans="1:10" ht="15" thickBot="1" x14ac:dyDescent="0.35">
      <c r="A17" s="3" t="b">
        <f>FALSE</f>
        <v>0</v>
      </c>
      <c r="B17" s="3" t="b">
        <f>FALSE</f>
        <v>0</v>
      </c>
      <c r="C17" s="3" t="b">
        <f>FALSE</f>
        <v>0</v>
      </c>
      <c r="D17" s="5" t="b">
        <f t="shared" si="6"/>
        <v>0</v>
      </c>
      <c r="E17" s="5" t="b">
        <f t="shared" si="7"/>
        <v>0</v>
      </c>
      <c r="F17" s="5" t="b">
        <f t="shared" si="8"/>
        <v>0</v>
      </c>
      <c r="G17" s="5" t="b">
        <f t="shared" si="9"/>
        <v>0</v>
      </c>
      <c r="H17" s="15" t="b">
        <f t="shared" si="10"/>
        <v>0</v>
      </c>
      <c r="I17" s="16"/>
      <c r="J17" s="12"/>
    </row>
    <row r="18" spans="1:10" ht="15" thickBot="1" x14ac:dyDescent="0.35">
      <c r="A18" s="3" t="b">
        <f>FALSE</f>
        <v>0</v>
      </c>
      <c r="B18" s="3" t="b">
        <f>TRUE</f>
        <v>1</v>
      </c>
      <c r="C18" s="3" t="b">
        <f>TRUE</f>
        <v>1</v>
      </c>
      <c r="D18" s="5" t="b">
        <f t="shared" si="6"/>
        <v>0</v>
      </c>
      <c r="E18" s="5" t="b">
        <f t="shared" si="7"/>
        <v>1</v>
      </c>
      <c r="F18" s="5" t="b">
        <f t="shared" si="8"/>
        <v>0</v>
      </c>
      <c r="G18" s="5" t="b">
        <f t="shared" si="9"/>
        <v>0</v>
      </c>
      <c r="H18" s="13" t="b">
        <f t="shared" si="10"/>
        <v>1</v>
      </c>
      <c r="I18" s="14"/>
      <c r="J18" s="12"/>
    </row>
    <row r="19" spans="1:10" ht="15" thickBot="1" x14ac:dyDescent="0.35">
      <c r="A19" s="3" t="b">
        <f>FALSE</f>
        <v>0</v>
      </c>
      <c r="B19" s="3" t="b">
        <f>FALSE</f>
        <v>0</v>
      </c>
      <c r="C19" s="3" t="b">
        <f>TRUE</f>
        <v>1</v>
      </c>
      <c r="D19" s="5" t="b">
        <f t="shared" si="6"/>
        <v>0</v>
      </c>
      <c r="E19" s="5" t="b">
        <f t="shared" si="7"/>
        <v>0</v>
      </c>
      <c r="F19" s="5" t="b">
        <f t="shared" si="8"/>
        <v>1</v>
      </c>
      <c r="G19" s="5" t="b">
        <f t="shared" si="9"/>
        <v>0</v>
      </c>
      <c r="H19" s="13" t="b">
        <f t="shared" si="10"/>
        <v>1</v>
      </c>
      <c r="I19" s="14"/>
      <c r="J19" s="12"/>
    </row>
    <row r="20" spans="1:10" x14ac:dyDescent="0.3">
      <c r="A20" s="3" t="b">
        <f>FALSE</f>
        <v>0</v>
      </c>
      <c r="B20" s="3" t="b">
        <f>TRUE</f>
        <v>1</v>
      </c>
      <c r="C20" s="3" t="b">
        <f>FALSE</f>
        <v>0</v>
      </c>
      <c r="D20" s="5" t="b">
        <f t="shared" si="6"/>
        <v>0</v>
      </c>
      <c r="E20" s="5" t="b">
        <f t="shared" si="7"/>
        <v>0</v>
      </c>
      <c r="F20" s="5" t="b">
        <f t="shared" si="8"/>
        <v>0</v>
      </c>
      <c r="G20" s="5" t="b">
        <f t="shared" si="9"/>
        <v>1</v>
      </c>
      <c r="H20" s="13" t="b">
        <f t="shared" si="10"/>
        <v>1</v>
      </c>
      <c r="I20" s="14"/>
      <c r="J20" s="12"/>
    </row>
    <row r="21" spans="1:10" x14ac:dyDescent="0.3">
      <c r="A21" t="s">
        <v>9</v>
      </c>
      <c r="B21" t="s">
        <v>19</v>
      </c>
      <c r="C21" s="18"/>
      <c r="D21" s="18"/>
      <c r="E21" s="18"/>
      <c r="F21" s="18"/>
      <c r="G21" s="18"/>
      <c r="H21" s="18"/>
      <c r="I21" s="18"/>
    </row>
    <row r="22" spans="1:10" x14ac:dyDescent="0.3">
      <c r="A22" t="s">
        <v>0</v>
      </c>
      <c r="B22" t="s">
        <v>1</v>
      </c>
      <c r="C22" t="s">
        <v>2</v>
      </c>
      <c r="D22" t="s">
        <v>20</v>
      </c>
      <c r="E22" t="s">
        <v>21</v>
      </c>
      <c r="F22" s="17" t="s">
        <v>22</v>
      </c>
      <c r="G22" s="17" t="s">
        <v>23</v>
      </c>
      <c r="H22" s="17" t="s">
        <v>24</v>
      </c>
    </row>
    <row r="23" spans="1:10" x14ac:dyDescent="0.3">
      <c r="A23" s="3" t="b">
        <f>TRUE</f>
        <v>1</v>
      </c>
      <c r="B23" s="3" t="b">
        <f>TRUE</f>
        <v>1</v>
      </c>
      <c r="C23" s="3" t="b">
        <f>TRUE</f>
        <v>1</v>
      </c>
      <c r="D23" t="b">
        <f>OR(NOT(A23),NOT(B23),NOT(C23))</f>
        <v>0</v>
      </c>
      <c r="E23" t="b">
        <f>OR(NOT(A23),B23,NOT(C23))</f>
        <v>1</v>
      </c>
      <c r="F23" t="b">
        <f>OR(NOT(A23),B23,C23)</f>
        <v>1</v>
      </c>
      <c r="G23" t="b">
        <f>OR(A23,B23,C23)</f>
        <v>1</v>
      </c>
      <c r="H23" s="11" t="b">
        <f>AND(D23:G23)</f>
        <v>0</v>
      </c>
    </row>
    <row r="24" spans="1:10" x14ac:dyDescent="0.3">
      <c r="A24" s="3" t="b">
        <f>TRUE</f>
        <v>1</v>
      </c>
      <c r="B24" s="3" t="b">
        <f>TRUE</f>
        <v>1</v>
      </c>
      <c r="C24" s="3" t="b">
        <f>FALSE</f>
        <v>0</v>
      </c>
      <c r="D24" t="b">
        <f t="shared" ref="D24:D30" si="11">OR(NOT(A24),NOT(B24),NOT(C24))</f>
        <v>1</v>
      </c>
      <c r="E24" t="b">
        <f t="shared" ref="E24:E30" si="12">OR(NOT(A24),B24,NOT(C24))</f>
        <v>1</v>
      </c>
      <c r="F24" t="b">
        <f t="shared" ref="F24:F30" si="13">OR(NOT(A24),B24,C24)</f>
        <v>1</v>
      </c>
      <c r="G24" t="b">
        <f t="shared" ref="G24:G30" si="14">OR(A24,B24,C24)</f>
        <v>1</v>
      </c>
      <c r="H24" s="10" t="b">
        <f t="shared" ref="H24:H30" si="15">AND(D24:G24)</f>
        <v>1</v>
      </c>
    </row>
    <row r="25" spans="1:10" x14ac:dyDescent="0.3">
      <c r="A25" t="b">
        <f>TRUE</f>
        <v>1</v>
      </c>
      <c r="B25" s="3" t="b">
        <f>FALSE</f>
        <v>0</v>
      </c>
      <c r="C25" s="3" t="b">
        <f>TRUE</f>
        <v>1</v>
      </c>
      <c r="D25" t="b">
        <f t="shared" si="11"/>
        <v>1</v>
      </c>
      <c r="E25" t="b">
        <f t="shared" si="12"/>
        <v>0</v>
      </c>
      <c r="F25" t="b">
        <f t="shared" si="13"/>
        <v>1</v>
      </c>
      <c r="G25" t="b">
        <f t="shared" si="14"/>
        <v>1</v>
      </c>
      <c r="H25" s="11" t="b">
        <f t="shared" si="15"/>
        <v>0</v>
      </c>
    </row>
    <row r="26" spans="1:10" x14ac:dyDescent="0.3">
      <c r="A26" s="3" t="b">
        <f>TRUE</f>
        <v>1</v>
      </c>
      <c r="B26" s="3" t="b">
        <f>FALSE</f>
        <v>0</v>
      </c>
      <c r="C26" s="3" t="b">
        <f>FALSE</f>
        <v>0</v>
      </c>
      <c r="D26" t="b">
        <f t="shared" si="11"/>
        <v>1</v>
      </c>
      <c r="E26" t="b">
        <f t="shared" si="12"/>
        <v>1</v>
      </c>
      <c r="F26" t="b">
        <f t="shared" si="13"/>
        <v>0</v>
      </c>
      <c r="G26" t="b">
        <f t="shared" si="14"/>
        <v>1</v>
      </c>
      <c r="H26" s="11" t="b">
        <f t="shared" si="15"/>
        <v>0</v>
      </c>
    </row>
    <row r="27" spans="1:10" x14ac:dyDescent="0.3">
      <c r="A27" s="3" t="b">
        <f>FALSE</f>
        <v>0</v>
      </c>
      <c r="B27" s="3" t="b">
        <f>FALSE</f>
        <v>0</v>
      </c>
      <c r="C27" s="3" t="b">
        <f>FALSE</f>
        <v>0</v>
      </c>
      <c r="D27" t="b">
        <f t="shared" si="11"/>
        <v>1</v>
      </c>
      <c r="E27" t="b">
        <f t="shared" si="12"/>
        <v>1</v>
      </c>
      <c r="F27" t="b">
        <f t="shared" si="13"/>
        <v>1</v>
      </c>
      <c r="G27" t="b">
        <f t="shared" si="14"/>
        <v>0</v>
      </c>
      <c r="H27" s="11" t="b">
        <f t="shared" si="15"/>
        <v>0</v>
      </c>
    </row>
    <row r="28" spans="1:10" x14ac:dyDescent="0.3">
      <c r="A28" s="3" t="b">
        <f>FALSE</f>
        <v>0</v>
      </c>
      <c r="B28" s="3" t="b">
        <f>TRUE</f>
        <v>1</v>
      </c>
      <c r="C28" s="3" t="b">
        <f>TRUE</f>
        <v>1</v>
      </c>
      <c r="D28" t="b">
        <f t="shared" si="11"/>
        <v>1</v>
      </c>
      <c r="E28" t="b">
        <f t="shared" si="12"/>
        <v>1</v>
      </c>
      <c r="F28" t="b">
        <f t="shared" si="13"/>
        <v>1</v>
      </c>
      <c r="G28" t="b">
        <f t="shared" si="14"/>
        <v>1</v>
      </c>
      <c r="H28" s="10" t="b">
        <f t="shared" si="15"/>
        <v>1</v>
      </c>
    </row>
    <row r="29" spans="1:10" x14ac:dyDescent="0.3">
      <c r="A29" s="3" t="b">
        <f>FALSE</f>
        <v>0</v>
      </c>
      <c r="B29" s="3" t="b">
        <f>FALSE</f>
        <v>0</v>
      </c>
      <c r="C29" s="3" t="b">
        <f>TRUE</f>
        <v>1</v>
      </c>
      <c r="D29" t="b">
        <f t="shared" si="11"/>
        <v>1</v>
      </c>
      <c r="E29" t="b">
        <f t="shared" si="12"/>
        <v>1</v>
      </c>
      <c r="F29" t="b">
        <f t="shared" si="13"/>
        <v>1</v>
      </c>
      <c r="G29" t="b">
        <f t="shared" si="14"/>
        <v>1</v>
      </c>
      <c r="H29" s="10" t="b">
        <f t="shared" si="15"/>
        <v>1</v>
      </c>
    </row>
    <row r="30" spans="1:10" x14ac:dyDescent="0.3">
      <c r="A30" s="3" t="b">
        <f>FALSE</f>
        <v>0</v>
      </c>
      <c r="B30" s="3" t="b">
        <f>TRUE</f>
        <v>1</v>
      </c>
      <c r="C30" s="3" t="b">
        <f>FALSE</f>
        <v>0</v>
      </c>
      <c r="D30" t="b">
        <f t="shared" si="11"/>
        <v>1</v>
      </c>
      <c r="E30" t="b">
        <f t="shared" si="12"/>
        <v>1</v>
      </c>
      <c r="F30" t="b">
        <f t="shared" si="13"/>
        <v>1</v>
      </c>
      <c r="G30" t="b">
        <f t="shared" si="14"/>
        <v>1</v>
      </c>
      <c r="H30" s="10" t="b">
        <f t="shared" si="15"/>
        <v>1</v>
      </c>
    </row>
    <row r="31" spans="1:10" x14ac:dyDescent="0.3">
      <c r="A31" t="s">
        <v>11</v>
      </c>
      <c r="B31" s="9" t="s">
        <v>27</v>
      </c>
      <c r="C31" s="9"/>
      <c r="D31" s="9"/>
      <c r="E31" s="9"/>
      <c r="F31" s="9"/>
    </row>
    <row r="32" spans="1:10" x14ac:dyDescent="0.3">
      <c r="A32" t="s">
        <v>0</v>
      </c>
      <c r="B32" t="s">
        <v>1</v>
      </c>
      <c r="C32" t="s">
        <v>2</v>
      </c>
      <c r="D32" t="s">
        <v>25</v>
      </c>
      <c r="E32" t="s">
        <v>26</v>
      </c>
      <c r="F32" s="9" t="s">
        <v>28</v>
      </c>
      <c r="G32" s="9"/>
    </row>
    <row r="33" spans="1:7" x14ac:dyDescent="0.3">
      <c r="A33" s="3" t="b">
        <f>TRUE</f>
        <v>1</v>
      </c>
      <c r="B33" s="3" t="b">
        <f>TRUE</f>
        <v>1</v>
      </c>
      <c r="C33" s="3" t="b">
        <f>TRUE</f>
        <v>1</v>
      </c>
      <c r="D33" t="b">
        <f>AND(B33,NOT(C33))</f>
        <v>0</v>
      </c>
      <c r="E33" t="b">
        <f>AND(NOT(A33),C33)</f>
        <v>0</v>
      </c>
      <c r="F33" s="20" t="b">
        <f>OR(D33,E33)</f>
        <v>0</v>
      </c>
      <c r="G33" s="20"/>
    </row>
    <row r="34" spans="1:7" x14ac:dyDescent="0.3">
      <c r="A34" s="3" t="b">
        <f>TRUE</f>
        <v>1</v>
      </c>
      <c r="B34" s="3" t="b">
        <f>TRUE</f>
        <v>1</v>
      </c>
      <c r="C34" s="3" t="b">
        <f>FALSE</f>
        <v>0</v>
      </c>
      <c r="D34" t="b">
        <f t="shared" ref="D34:D40" si="16">AND(B34,NOT(C34))</f>
        <v>1</v>
      </c>
      <c r="E34" t="b">
        <f t="shared" ref="E34:E40" si="17">AND(NOT(A34),C34)</f>
        <v>0</v>
      </c>
      <c r="F34" s="19" t="b">
        <f t="shared" ref="F34:F40" si="18">OR(D34,E34)</f>
        <v>1</v>
      </c>
      <c r="G34" s="19"/>
    </row>
    <row r="35" spans="1:7" x14ac:dyDescent="0.3">
      <c r="A35" t="b">
        <f>TRUE</f>
        <v>1</v>
      </c>
      <c r="B35" s="3" t="b">
        <f>FALSE</f>
        <v>0</v>
      </c>
      <c r="C35" s="3" t="b">
        <f>TRUE</f>
        <v>1</v>
      </c>
      <c r="D35" t="b">
        <f t="shared" si="16"/>
        <v>0</v>
      </c>
      <c r="E35" t="b">
        <f t="shared" si="17"/>
        <v>0</v>
      </c>
      <c r="F35" s="20" t="b">
        <f t="shared" si="18"/>
        <v>0</v>
      </c>
      <c r="G35" s="20"/>
    </row>
    <row r="36" spans="1:7" x14ac:dyDescent="0.3">
      <c r="A36" s="3" t="b">
        <f>TRUE</f>
        <v>1</v>
      </c>
      <c r="B36" s="3" t="b">
        <f>FALSE</f>
        <v>0</v>
      </c>
      <c r="C36" s="3" t="b">
        <f>FALSE</f>
        <v>0</v>
      </c>
      <c r="D36" t="b">
        <f t="shared" si="16"/>
        <v>0</v>
      </c>
      <c r="E36" t="b">
        <f t="shared" si="17"/>
        <v>0</v>
      </c>
      <c r="F36" s="20" t="b">
        <f t="shared" si="18"/>
        <v>0</v>
      </c>
      <c r="G36" s="20"/>
    </row>
    <row r="37" spans="1:7" x14ac:dyDescent="0.3">
      <c r="A37" s="3" t="b">
        <f>FALSE</f>
        <v>0</v>
      </c>
      <c r="B37" s="3" t="b">
        <f>FALSE</f>
        <v>0</v>
      </c>
      <c r="C37" s="3" t="b">
        <f>FALSE</f>
        <v>0</v>
      </c>
      <c r="D37" t="b">
        <f t="shared" si="16"/>
        <v>0</v>
      </c>
      <c r="E37" t="b">
        <f t="shared" si="17"/>
        <v>0</v>
      </c>
      <c r="F37" s="20" t="b">
        <f t="shared" si="18"/>
        <v>0</v>
      </c>
      <c r="G37" s="20"/>
    </row>
    <row r="38" spans="1:7" x14ac:dyDescent="0.3">
      <c r="A38" s="3" t="b">
        <f>FALSE</f>
        <v>0</v>
      </c>
      <c r="B38" s="3" t="b">
        <f>TRUE</f>
        <v>1</v>
      </c>
      <c r="C38" s="3" t="b">
        <f>TRUE</f>
        <v>1</v>
      </c>
      <c r="D38" t="b">
        <f t="shared" si="16"/>
        <v>0</v>
      </c>
      <c r="E38" t="b">
        <f t="shared" si="17"/>
        <v>1</v>
      </c>
      <c r="F38" s="19" t="b">
        <f t="shared" si="18"/>
        <v>1</v>
      </c>
      <c r="G38" s="19"/>
    </row>
    <row r="39" spans="1:7" x14ac:dyDescent="0.3">
      <c r="A39" s="3" t="b">
        <f>FALSE</f>
        <v>0</v>
      </c>
      <c r="B39" s="3" t="b">
        <f>FALSE</f>
        <v>0</v>
      </c>
      <c r="C39" s="3" t="b">
        <f>TRUE</f>
        <v>1</v>
      </c>
      <c r="D39" t="b">
        <f t="shared" si="16"/>
        <v>0</v>
      </c>
      <c r="E39" t="b">
        <f t="shared" si="17"/>
        <v>1</v>
      </c>
      <c r="F39" s="19" t="b">
        <f t="shared" si="18"/>
        <v>1</v>
      </c>
      <c r="G39" s="19"/>
    </row>
    <row r="40" spans="1:7" x14ac:dyDescent="0.3">
      <c r="A40" s="3" t="b">
        <f>FALSE</f>
        <v>0</v>
      </c>
      <c r="B40" s="3" t="b">
        <f>TRUE</f>
        <v>1</v>
      </c>
      <c r="C40" s="3" t="b">
        <f>FALSE</f>
        <v>0</v>
      </c>
      <c r="D40" t="b">
        <f t="shared" si="16"/>
        <v>1</v>
      </c>
      <c r="E40" t="b">
        <f t="shared" si="17"/>
        <v>0</v>
      </c>
      <c r="F40" s="19" t="b">
        <f t="shared" si="18"/>
        <v>1</v>
      </c>
      <c r="G40" s="19"/>
    </row>
    <row r="41" spans="1:7" ht="15" x14ac:dyDescent="0.35">
      <c r="A41" t="s">
        <v>12</v>
      </c>
      <c r="B41" s="21" t="s">
        <v>32</v>
      </c>
      <c r="C41" s="21"/>
      <c r="D41" s="21"/>
      <c r="E41" s="21"/>
      <c r="F41" s="21"/>
      <c r="G41" s="21"/>
    </row>
    <row r="42" spans="1:7" x14ac:dyDescent="0.3">
      <c r="A42" t="s">
        <v>0</v>
      </c>
      <c r="B42" t="s">
        <v>1</v>
      </c>
      <c r="C42" t="s">
        <v>2</v>
      </c>
      <c r="D42" t="s">
        <v>30</v>
      </c>
      <c r="E42" t="s">
        <v>31</v>
      </c>
      <c r="F42" t="s">
        <v>29</v>
      </c>
    </row>
    <row r="43" spans="1:7" x14ac:dyDescent="0.3">
      <c r="A43" s="3" t="b">
        <f>TRUE</f>
        <v>1</v>
      </c>
      <c r="B43" s="3" t="b">
        <f>TRUE</f>
        <v>1</v>
      </c>
      <c r="C43" s="3" t="b">
        <f>TRUE</f>
        <v>1</v>
      </c>
      <c r="D43" t="b">
        <f>OR(NOT(A43),NOT(C43))</f>
        <v>0</v>
      </c>
      <c r="E43" t="b">
        <f>OR(B43,C43)</f>
        <v>1</v>
      </c>
      <c r="F43" s="11" t="b">
        <f>AND(D43,E43)</f>
        <v>0</v>
      </c>
    </row>
    <row r="44" spans="1:7" x14ac:dyDescent="0.3">
      <c r="A44" s="3" t="b">
        <f>TRUE</f>
        <v>1</v>
      </c>
      <c r="B44" s="3" t="b">
        <f>TRUE</f>
        <v>1</v>
      </c>
      <c r="C44" s="3" t="b">
        <f>FALSE</f>
        <v>0</v>
      </c>
      <c r="D44" t="b">
        <f t="shared" ref="D44:D50" si="19">OR(NOT(A44),NOT(C44))</f>
        <v>1</v>
      </c>
      <c r="E44" t="b">
        <f t="shared" ref="E44:E50" si="20">OR(B44,C44)</f>
        <v>1</v>
      </c>
      <c r="F44" s="10" t="b">
        <f t="shared" ref="F44:F50" si="21">AND(D44,E44)</f>
        <v>1</v>
      </c>
    </row>
    <row r="45" spans="1:7" x14ac:dyDescent="0.3">
      <c r="A45" t="b">
        <f>TRUE</f>
        <v>1</v>
      </c>
      <c r="B45" s="3" t="b">
        <f>FALSE</f>
        <v>0</v>
      </c>
      <c r="C45" s="3" t="b">
        <f>TRUE</f>
        <v>1</v>
      </c>
      <c r="D45" t="b">
        <f t="shared" si="19"/>
        <v>0</v>
      </c>
      <c r="E45" t="b">
        <f t="shared" si="20"/>
        <v>1</v>
      </c>
      <c r="F45" s="11" t="b">
        <f t="shared" si="21"/>
        <v>0</v>
      </c>
    </row>
    <row r="46" spans="1:7" x14ac:dyDescent="0.3">
      <c r="A46" s="3" t="b">
        <f>TRUE</f>
        <v>1</v>
      </c>
      <c r="B46" s="3" t="b">
        <f>FALSE</f>
        <v>0</v>
      </c>
      <c r="C46" s="3" t="b">
        <f>FALSE</f>
        <v>0</v>
      </c>
      <c r="D46" t="b">
        <f t="shared" si="19"/>
        <v>1</v>
      </c>
      <c r="E46" t="b">
        <f t="shared" si="20"/>
        <v>0</v>
      </c>
      <c r="F46" s="11" t="b">
        <f t="shared" si="21"/>
        <v>0</v>
      </c>
    </row>
    <row r="47" spans="1:7" x14ac:dyDescent="0.3">
      <c r="A47" s="3" t="b">
        <f>FALSE</f>
        <v>0</v>
      </c>
      <c r="B47" s="3" t="b">
        <f>FALSE</f>
        <v>0</v>
      </c>
      <c r="C47" s="3" t="b">
        <f>FALSE</f>
        <v>0</v>
      </c>
      <c r="D47" t="b">
        <f t="shared" si="19"/>
        <v>1</v>
      </c>
      <c r="E47" t="b">
        <f t="shared" si="20"/>
        <v>0</v>
      </c>
      <c r="F47" s="11" t="b">
        <f t="shared" si="21"/>
        <v>0</v>
      </c>
    </row>
    <row r="48" spans="1:7" x14ac:dyDescent="0.3">
      <c r="A48" s="3" t="b">
        <f>FALSE</f>
        <v>0</v>
      </c>
      <c r="B48" s="3" t="b">
        <f>TRUE</f>
        <v>1</v>
      </c>
      <c r="C48" s="3" t="b">
        <f>TRUE</f>
        <v>1</v>
      </c>
      <c r="D48" t="b">
        <f t="shared" si="19"/>
        <v>1</v>
      </c>
      <c r="E48" t="b">
        <f t="shared" si="20"/>
        <v>1</v>
      </c>
      <c r="F48" s="10" t="b">
        <f t="shared" si="21"/>
        <v>1</v>
      </c>
    </row>
    <row r="49" spans="1:6" x14ac:dyDescent="0.3">
      <c r="A49" s="3" t="b">
        <f>FALSE</f>
        <v>0</v>
      </c>
      <c r="B49" s="3" t="b">
        <f>FALSE</f>
        <v>0</v>
      </c>
      <c r="C49" s="3" t="b">
        <f>TRUE</f>
        <v>1</v>
      </c>
      <c r="D49" t="b">
        <f t="shared" si="19"/>
        <v>1</v>
      </c>
      <c r="E49" t="b">
        <f t="shared" si="20"/>
        <v>1</v>
      </c>
      <c r="F49" s="10" t="b">
        <f t="shared" si="21"/>
        <v>1</v>
      </c>
    </row>
    <row r="50" spans="1:6" x14ac:dyDescent="0.3">
      <c r="A50" s="3" t="b">
        <f>FALSE</f>
        <v>0</v>
      </c>
      <c r="B50" s="3" t="b">
        <f>TRUE</f>
        <v>1</v>
      </c>
      <c r="C50" s="3" t="b">
        <f>FALSE</f>
        <v>0</v>
      </c>
      <c r="D50" t="b">
        <f t="shared" si="19"/>
        <v>1</v>
      </c>
      <c r="E50" t="b">
        <f t="shared" si="20"/>
        <v>1</v>
      </c>
      <c r="F50" s="10" t="b">
        <f t="shared" si="21"/>
        <v>1</v>
      </c>
    </row>
  </sheetData>
  <mergeCells count="21">
    <mergeCell ref="F37:G37"/>
    <mergeCell ref="F38:G38"/>
    <mergeCell ref="F39:G39"/>
    <mergeCell ref="F40:G40"/>
    <mergeCell ref="B41:G41"/>
    <mergeCell ref="F32:G32"/>
    <mergeCell ref="F33:G33"/>
    <mergeCell ref="F34:G34"/>
    <mergeCell ref="F35:G35"/>
    <mergeCell ref="F36:G36"/>
    <mergeCell ref="B11:H11"/>
    <mergeCell ref="H12:I12"/>
    <mergeCell ref="B31:F31"/>
    <mergeCell ref="H13:I13"/>
    <mergeCell ref="H14:I14"/>
    <mergeCell ref="H15:I15"/>
    <mergeCell ref="H16:I16"/>
    <mergeCell ref="H17:I17"/>
    <mergeCell ref="H18:I18"/>
    <mergeCell ref="H19:I19"/>
    <mergeCell ref="H20:I2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Debankov</dc:creator>
  <cp:lastModifiedBy>Debankov</cp:lastModifiedBy>
  <dcterms:created xsi:type="dcterms:W3CDTF">2015-06-05T18:19:34Z</dcterms:created>
  <dcterms:modified xsi:type="dcterms:W3CDTF">2025-12-17T08:10:48Z</dcterms:modified>
</cp:coreProperties>
</file>