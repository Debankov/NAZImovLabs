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8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1" l="1"/>
  <c r="E45" i="1"/>
  <c r="E46" i="1"/>
  <c r="E47" i="1"/>
  <c r="E48" i="1"/>
  <c r="E49" i="1"/>
  <c r="E43" i="1"/>
  <c r="D44" i="1"/>
  <c r="D45" i="1"/>
  <c r="D46" i="1"/>
  <c r="D47" i="1"/>
  <c r="D48" i="1"/>
  <c r="D49" i="1"/>
  <c r="D43" i="1"/>
  <c r="G33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G34" i="1"/>
  <c r="G35" i="1"/>
  <c r="G36" i="1"/>
  <c r="G37" i="1"/>
  <c r="G38" i="1"/>
  <c r="G39" i="1"/>
  <c r="F34" i="1"/>
  <c r="F35" i="1"/>
  <c r="F36" i="1"/>
  <c r="F37" i="1"/>
  <c r="F38" i="1"/>
  <c r="F39" i="1"/>
  <c r="F33" i="1"/>
  <c r="E34" i="1"/>
  <c r="E35" i="1"/>
  <c r="E36" i="1"/>
  <c r="E37" i="1"/>
  <c r="E38" i="1"/>
  <c r="E39" i="1"/>
  <c r="E33" i="1"/>
  <c r="D34" i="1"/>
  <c r="D35" i="1"/>
  <c r="D36" i="1"/>
  <c r="D37" i="1"/>
  <c r="D38" i="1"/>
  <c r="D39" i="1"/>
  <c r="D33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F24" i="1"/>
  <c r="F25" i="1"/>
  <c r="F26" i="1"/>
  <c r="F27" i="1"/>
  <c r="F28" i="1"/>
  <c r="F29" i="1"/>
  <c r="F23" i="1"/>
  <c r="E24" i="1"/>
  <c r="E25" i="1"/>
  <c r="E26" i="1"/>
  <c r="E27" i="1"/>
  <c r="E28" i="1"/>
  <c r="E29" i="1"/>
  <c r="E23" i="1"/>
  <c r="D24" i="1"/>
  <c r="D25" i="1"/>
  <c r="D26" i="1"/>
  <c r="D27" i="1"/>
  <c r="D28" i="1"/>
  <c r="D29" i="1"/>
  <c r="D23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J14" i="1"/>
  <c r="J15" i="1"/>
  <c r="J16" i="1"/>
  <c r="J17" i="1"/>
  <c r="J18" i="1"/>
  <c r="J19" i="1"/>
  <c r="J13" i="1"/>
  <c r="I14" i="1"/>
  <c r="I15" i="1"/>
  <c r="I16" i="1"/>
  <c r="I17" i="1"/>
  <c r="I18" i="1"/>
  <c r="I19" i="1"/>
  <c r="I13" i="1"/>
  <c r="H14" i="1"/>
  <c r="H15" i="1"/>
  <c r="H16" i="1"/>
  <c r="H17" i="1"/>
  <c r="H18" i="1"/>
  <c r="H19" i="1"/>
  <c r="H13" i="1"/>
  <c r="G14" i="1"/>
  <c r="G15" i="1"/>
  <c r="G16" i="1"/>
  <c r="G17" i="1"/>
  <c r="G18" i="1"/>
  <c r="G19" i="1"/>
  <c r="G13" i="1"/>
  <c r="F14" i="1"/>
  <c r="F15" i="1"/>
  <c r="F16" i="1"/>
  <c r="F17" i="1"/>
  <c r="F18" i="1"/>
  <c r="F19" i="1"/>
  <c r="F13" i="1"/>
  <c r="E14" i="1"/>
  <c r="E15" i="1"/>
  <c r="E16" i="1"/>
  <c r="E17" i="1"/>
  <c r="E18" i="1"/>
  <c r="E19" i="1"/>
  <c r="E13" i="1"/>
  <c r="D14" i="1"/>
  <c r="D15" i="1"/>
  <c r="D16" i="1"/>
  <c r="D17" i="1"/>
  <c r="D18" i="1"/>
  <c r="D19" i="1"/>
  <c r="D13" i="1"/>
  <c r="C17" i="1"/>
  <c r="B18" i="1"/>
  <c r="C19" i="1"/>
  <c r="B19" i="1"/>
  <c r="A19" i="1"/>
  <c r="C18" i="1"/>
  <c r="A18" i="1"/>
  <c r="B17" i="1"/>
  <c r="A17" i="1"/>
  <c r="C16" i="1"/>
  <c r="B16" i="1"/>
  <c r="A16" i="1"/>
  <c r="B15" i="1"/>
  <c r="C14" i="1"/>
  <c r="C15" i="1"/>
  <c r="A15" i="1"/>
  <c r="B14" i="1"/>
  <c r="A14" i="1"/>
  <c r="C13" i="1"/>
  <c r="B13" i="1"/>
  <c r="A13" i="1"/>
  <c r="H4" i="1"/>
  <c r="G4" i="1"/>
  <c r="F4" i="1"/>
  <c r="B4" i="1"/>
  <c r="C4" i="1"/>
  <c r="D4" i="1" s="1"/>
  <c r="E4" i="1" s="1"/>
  <c r="A4" i="1"/>
  <c r="C9" i="1" l="1"/>
  <c r="D9" i="1" s="1"/>
  <c r="A9" i="1"/>
  <c r="F9" i="1" s="1"/>
  <c r="B9" i="1"/>
  <c r="C8" i="1"/>
  <c r="D8" i="1" s="1"/>
  <c r="B8" i="1"/>
  <c r="A8" i="1"/>
  <c r="F8" i="1" s="1"/>
  <c r="C7" i="1"/>
  <c r="D7" i="1" s="1"/>
  <c r="B7" i="1"/>
  <c r="A7" i="1"/>
  <c r="F7" i="1" s="1"/>
  <c r="A6" i="1"/>
  <c r="F6" i="1" s="1"/>
  <c r="C6" i="1"/>
  <c r="D6" i="1" s="1"/>
  <c r="B6" i="1"/>
  <c r="C5" i="1"/>
  <c r="D5" i="1" s="1"/>
  <c r="B5" i="1"/>
  <c r="A5" i="1"/>
  <c r="F5" i="1" s="1"/>
  <c r="C3" i="1"/>
  <c r="D3" i="1" s="1"/>
  <c r="B3" i="1"/>
  <c r="A3" i="1"/>
  <c r="F3" i="1" s="1"/>
  <c r="C2" i="1"/>
  <c r="D2" i="1" s="1"/>
  <c r="B2" i="1"/>
  <c r="A2" i="1"/>
  <c r="F2" i="1" s="1"/>
  <c r="E6" i="1" l="1"/>
  <c r="E2" i="1"/>
  <c r="H2" i="1"/>
  <c r="E3" i="1"/>
  <c r="E5" i="1"/>
  <c r="H5" i="1"/>
  <c r="H9" i="1"/>
  <c r="E9" i="1"/>
  <c r="H7" i="1"/>
  <c r="E7" i="1"/>
  <c r="E8" i="1"/>
  <c r="G2" i="1"/>
  <c r="G8" i="1"/>
  <c r="H8" i="1" s="1"/>
  <c r="G3" i="1"/>
  <c r="H3" i="1" s="1"/>
  <c r="G9" i="1"/>
  <c r="G5" i="1"/>
  <c r="G6" i="1"/>
  <c r="H6" i="1" s="1"/>
  <c r="G7" i="1"/>
</calcChain>
</file>

<file path=xl/sharedStrings.xml><?xml version="1.0" encoding="utf-8"?>
<sst xmlns="http://schemas.openxmlformats.org/spreadsheetml/2006/main" count="44" uniqueCount="30">
  <si>
    <t>x</t>
  </si>
  <si>
    <t>y</t>
  </si>
  <si>
    <t>z</t>
  </si>
  <si>
    <t>!z</t>
  </si>
  <si>
    <t xml:space="preserve">!z ↔ y
</t>
  </si>
  <si>
    <t>!x</t>
  </si>
  <si>
    <t>y⊕!x</t>
  </si>
  <si>
    <t>!z |( y⊕!x)</t>
  </si>
  <si>
    <t>СДНФ</t>
  </si>
  <si>
    <t>f(x,y,z) = (  x /\ y /\ z)  \/ ( x /\ y /\ !z) \/ (x /\ !y /\ !y) \/ ( !x /\ !y /\ !z ) \/ (!x /\ !y /\ z ) \/ (!x /\ y /\ !z)</t>
  </si>
  <si>
    <t>СКНФ</t>
  </si>
  <si>
    <t xml:space="preserve">(  x /\ y /\ z) </t>
  </si>
  <si>
    <t xml:space="preserve">( x /\ y /\ !z) </t>
  </si>
  <si>
    <t>(x /\ !y /\ !y)</t>
  </si>
  <si>
    <t xml:space="preserve"> ( !x /\ !y /\ !z ) </t>
  </si>
  <si>
    <t xml:space="preserve"> (!x /\ !y /\ z )</t>
  </si>
  <si>
    <t>(!x /\ y /\ !z)</t>
  </si>
  <si>
    <t>Результат СДНФ</t>
  </si>
  <si>
    <t>f (x,y,z) = (!x /\ y /\ !z) \/ (x /\ !y /\ !z)</t>
  </si>
  <si>
    <t xml:space="preserve"> (x /\ !y /\ !z)</t>
  </si>
  <si>
    <t>Результат СКНФ</t>
  </si>
  <si>
    <t>ССДНФ</t>
  </si>
  <si>
    <t>f(x,y,z) = ( x /\ y ) \/ (!x /\ !y) \/ ( !x /\ y /\ !z)</t>
  </si>
  <si>
    <t>x /\ y</t>
  </si>
  <si>
    <t>!x /\ !y</t>
  </si>
  <si>
    <t>!x /\ y /\ !z</t>
  </si>
  <si>
    <t>ССКНФ</t>
  </si>
  <si>
    <t>f(x,y,z) = !z /\ (x \/ y)</t>
  </si>
  <si>
    <t>x \/ y</t>
  </si>
  <si>
    <t>!z /\ (x \/ 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</si>
</sst>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/>
    <xf numFmtId="0" fontId="1" fillId="0" borderId="0" xfId="0" applyFont="1" applyAlignment="1">
      <alignment horizontal="center"/>
    </xf>
    <xf numFmtId="0" fontId="0" fillId="0" borderId="4" xfId="0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topLeftCell="A28" zoomScale="145" zoomScaleNormal="145" workbookViewId="0">
      <selection activeCell="E45" sqref="E45"/>
    </sheetView>
  </sheetViews>
  <sheetFormatPr defaultRowHeight="14.4" x14ac:dyDescent="0.3"/>
  <cols>
    <col min="4" max="4" width="11.109375" bestFit="1" customWidth="1"/>
    <col min="5" max="5" width="11.33203125" bestFit="1" customWidth="1"/>
    <col min="6" max="6" width="11.109375" bestFit="1" customWidth="1"/>
    <col min="7" max="7" width="13.5546875" bestFit="1" customWidth="1"/>
    <col min="8" max="8" width="12" bestFit="1" customWidth="1"/>
    <col min="9" max="9" width="11.109375" bestFit="1" customWidth="1"/>
  </cols>
  <sheetData>
    <row r="1" spans="1:11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11" x14ac:dyDescent="0.3">
      <c r="A2" s="3" t="b">
        <f>TRUE</f>
        <v>1</v>
      </c>
      <c r="B2" s="3" t="b">
        <f>TRUE</f>
        <v>1</v>
      </c>
      <c r="C2" s="3" t="b">
        <f>TRUE</f>
        <v>1</v>
      </c>
      <c r="D2" s="3" t="b">
        <f>NOT(C2)</f>
        <v>0</v>
      </c>
      <c r="E2" s="3" t="b">
        <f>IF(D2=B2,TRUE,FALSE)</f>
        <v>0</v>
      </c>
      <c r="F2" s="3" t="b">
        <f>NOT(A2)</f>
        <v>0</v>
      </c>
      <c r="G2" s="3" t="b">
        <f>B2&lt;&gt;F2</f>
        <v>1</v>
      </c>
      <c r="H2" s="3" t="b">
        <f>OR(D2,G2)</f>
        <v>1</v>
      </c>
    </row>
    <row r="3" spans="1:11" x14ac:dyDescent="0.3">
      <c r="A3" s="3" t="b">
        <f>TRUE</f>
        <v>1</v>
      </c>
      <c r="B3" s="3" t="b">
        <f>TRUE</f>
        <v>1</v>
      </c>
      <c r="C3" s="3" t="b">
        <f>FALSE</f>
        <v>0</v>
      </c>
      <c r="D3" s="3" t="b">
        <f t="shared" ref="D3:D4" si="0">NOT(C3)</f>
        <v>1</v>
      </c>
      <c r="E3" s="3" t="b">
        <f t="shared" ref="E3:E4" si="1">IF(D3=B3,TRUE,FALSE)</f>
        <v>1</v>
      </c>
      <c r="F3" s="3" t="b">
        <f>NOT(A3)</f>
        <v>0</v>
      </c>
      <c r="G3" s="3" t="b">
        <f>B3&lt;&gt;F3</f>
        <v>1</v>
      </c>
      <c r="H3" s="3" t="b">
        <f t="shared" ref="H3:H4" si="2">OR(D3,G3)</f>
        <v>1</v>
      </c>
    </row>
    <row r="4" spans="1:11" x14ac:dyDescent="0.3">
      <c r="A4" t="b">
        <f>TRUE</f>
        <v>1</v>
      </c>
      <c r="B4" s="3" t="b">
        <f>FALSE</f>
        <v>0</v>
      </c>
      <c r="C4" s="3" t="b">
        <f>TRUE</f>
        <v>1</v>
      </c>
      <c r="D4" s="3" t="b">
        <f t="shared" si="0"/>
        <v>0</v>
      </c>
      <c r="E4" s="3" t="b">
        <f t="shared" si="1"/>
        <v>1</v>
      </c>
      <c r="F4" s="3" t="b">
        <f>NOT(A4)</f>
        <v>0</v>
      </c>
      <c r="G4" s="3" t="b">
        <f>B4&lt;&gt;F4</f>
        <v>0</v>
      </c>
      <c r="H4" s="3" t="b">
        <f t="shared" si="2"/>
        <v>0</v>
      </c>
    </row>
    <row r="5" spans="1:11" x14ac:dyDescent="0.3">
      <c r="A5" s="3" t="b">
        <f>TRUE</f>
        <v>1</v>
      </c>
      <c r="B5" s="3" t="b">
        <f>FALSE</f>
        <v>0</v>
      </c>
      <c r="C5" s="3" t="b">
        <f>FALSE</f>
        <v>0</v>
      </c>
      <c r="D5" s="3" t="b">
        <f>NOT(C5)</f>
        <v>1</v>
      </c>
      <c r="E5" s="3" t="b">
        <f>IF(D5=B5,TRUE,FALSE)</f>
        <v>0</v>
      </c>
      <c r="F5" s="3" t="b">
        <f>NOT(A5)</f>
        <v>0</v>
      </c>
      <c r="G5" s="3" t="b">
        <f>B5&lt;&gt;F5</f>
        <v>0</v>
      </c>
      <c r="H5" s="3" t="b">
        <f>OR(D5,G5)</f>
        <v>1</v>
      </c>
    </row>
    <row r="6" spans="1:11" x14ac:dyDescent="0.3">
      <c r="A6" s="3" t="b">
        <f>FALSE</f>
        <v>0</v>
      </c>
      <c r="B6" s="3" t="b">
        <f>FALSE</f>
        <v>0</v>
      </c>
      <c r="C6" s="3" t="b">
        <f>FALSE</f>
        <v>0</v>
      </c>
      <c r="D6" s="3" t="b">
        <f>NOT(C6)</f>
        <v>1</v>
      </c>
      <c r="E6" s="3" t="b">
        <f>IF(D6=B6,TRUE,FALSE)</f>
        <v>0</v>
      </c>
      <c r="F6" s="3" t="b">
        <f>NOT(A6)</f>
        <v>1</v>
      </c>
      <c r="G6" s="3" t="b">
        <f>B6&lt;&gt;F6</f>
        <v>1</v>
      </c>
      <c r="H6" s="3" t="b">
        <f>OR(D6,G6)</f>
        <v>1</v>
      </c>
    </row>
    <row r="7" spans="1:11" x14ac:dyDescent="0.3">
      <c r="A7" s="3" t="b">
        <f>FALSE</f>
        <v>0</v>
      </c>
      <c r="B7" s="3" t="b">
        <f>TRUE</f>
        <v>1</v>
      </c>
      <c r="C7" s="3" t="b">
        <f>TRUE</f>
        <v>1</v>
      </c>
      <c r="D7" s="3" t="b">
        <f>NOT(C7)</f>
        <v>0</v>
      </c>
      <c r="E7" s="3" t="b">
        <f>IF(D7=B7,TRUE,FALSE)</f>
        <v>0</v>
      </c>
      <c r="F7" s="3" t="b">
        <f>NOT(A7)</f>
        <v>1</v>
      </c>
      <c r="G7" s="3" t="b">
        <f>B7&lt;&gt;F7</f>
        <v>0</v>
      </c>
      <c r="H7" s="3" t="b">
        <f>OR(D7,G7)</f>
        <v>0</v>
      </c>
    </row>
    <row r="8" spans="1:11" x14ac:dyDescent="0.3">
      <c r="A8" s="3" t="b">
        <f>FALSE</f>
        <v>0</v>
      </c>
      <c r="B8" s="3" t="b">
        <f>FALSE</f>
        <v>0</v>
      </c>
      <c r="C8" s="3" t="b">
        <f>TRUE</f>
        <v>1</v>
      </c>
      <c r="D8" s="3" t="b">
        <f>NOT(C8)</f>
        <v>0</v>
      </c>
      <c r="E8" s="3" t="b">
        <f>IF(D8=B8,TRUE,FALSE)</f>
        <v>1</v>
      </c>
      <c r="F8" s="3" t="b">
        <f>NOT(A8)</f>
        <v>1</v>
      </c>
      <c r="G8" s="3" t="b">
        <f>B8&lt;&gt;F8</f>
        <v>1</v>
      </c>
      <c r="H8" s="3" t="b">
        <f>OR(D8,G8)</f>
        <v>1</v>
      </c>
    </row>
    <row r="9" spans="1:11" x14ac:dyDescent="0.3">
      <c r="A9" s="3" t="b">
        <f>FALSE</f>
        <v>0</v>
      </c>
      <c r="B9" s="3" t="b">
        <f>TRUE</f>
        <v>1</v>
      </c>
      <c r="C9" s="3" t="b">
        <f>FALSE</f>
        <v>0</v>
      </c>
      <c r="D9" s="3" t="b">
        <f>NOT(C9)</f>
        <v>1</v>
      </c>
      <c r="E9" s="3" t="b">
        <f>IF(D9=B9,TRUE,FALSE)</f>
        <v>1</v>
      </c>
      <c r="F9" s="3" t="b">
        <f>NOT(A9)</f>
        <v>1</v>
      </c>
      <c r="G9" s="3" t="b">
        <f>B9&lt;&gt;F9</f>
        <v>0</v>
      </c>
      <c r="H9" s="3" t="b">
        <f>OR(D9,G9)</f>
        <v>1</v>
      </c>
    </row>
    <row r="10" spans="1:11" x14ac:dyDescent="0.3">
      <c r="B10" s="6"/>
      <c r="C10" s="6"/>
      <c r="D10" s="6"/>
      <c r="E10" s="6"/>
      <c r="F10" s="6"/>
      <c r="G10" s="6"/>
      <c r="H10" s="6"/>
    </row>
    <row r="11" spans="1:11" x14ac:dyDescent="0.3">
      <c r="A11" s="6" t="s">
        <v>8</v>
      </c>
      <c r="B11" s="7" t="s">
        <v>9</v>
      </c>
      <c r="C11" s="7"/>
      <c r="D11" s="7"/>
      <c r="E11" s="7"/>
      <c r="F11" s="7"/>
      <c r="G11" s="7"/>
      <c r="H11" s="7"/>
    </row>
    <row r="12" spans="1:11" ht="15" thickBot="1" x14ac:dyDescent="0.35">
      <c r="A12" s="9" t="s">
        <v>0</v>
      </c>
      <c r="B12" s="9" t="s">
        <v>1</v>
      </c>
      <c r="C12" s="9" t="s">
        <v>2</v>
      </c>
      <c r="D12" s="9" t="s">
        <v>11</v>
      </c>
      <c r="E12" s="9" t="s">
        <v>12</v>
      </c>
      <c r="F12" s="9" t="s">
        <v>13</v>
      </c>
      <c r="G12" s="9" t="s">
        <v>14</v>
      </c>
      <c r="H12" s="9" t="s">
        <v>15</v>
      </c>
      <c r="I12" s="9" t="s">
        <v>16</v>
      </c>
      <c r="J12" s="5" t="s">
        <v>17</v>
      </c>
      <c r="K12" s="5"/>
    </row>
    <row r="13" spans="1:11" x14ac:dyDescent="0.3">
      <c r="A13" s="8" t="b">
        <f>TRUE</f>
        <v>1</v>
      </c>
      <c r="B13" s="8" t="b">
        <f>TRUE</f>
        <v>1</v>
      </c>
      <c r="C13" s="8" t="b">
        <f>TRUE</f>
        <v>1</v>
      </c>
      <c r="D13" s="8" t="b">
        <f>AND(C14,B12,C12)</f>
        <v>0</v>
      </c>
      <c r="E13" s="8" t="b">
        <f>AND(A13,B13,NOT(C13))</f>
        <v>0</v>
      </c>
      <c r="F13" s="8" t="b">
        <f>AND(A13,NOT(B13),NOT(C13))</f>
        <v>0</v>
      </c>
      <c r="G13" s="8" t="b">
        <f>AND(NOT(A13),NOT(B13),NOT(C13))</f>
        <v>0</v>
      </c>
      <c r="H13" s="8" t="b">
        <f>AND(NOT(A13),NOT(B13),C13)</f>
        <v>0</v>
      </c>
      <c r="I13" s="8" t="b">
        <f>AND(NOT(A13),B13,NOT(C13))</f>
        <v>0</v>
      </c>
      <c r="J13" s="8" t="b">
        <f>OR(D13:I13)</f>
        <v>0</v>
      </c>
    </row>
    <row r="14" spans="1:11" x14ac:dyDescent="0.3">
      <c r="A14" s="3" t="b">
        <f>TRUE</f>
        <v>1</v>
      </c>
      <c r="B14" s="3" t="b">
        <f>TRUE</f>
        <v>1</v>
      </c>
      <c r="C14" s="3" t="b">
        <f>FALSE</f>
        <v>0</v>
      </c>
      <c r="D14" s="3" t="b">
        <f t="shared" ref="D14:D19" si="3">AND(C15,B13,C13)</f>
        <v>1</v>
      </c>
      <c r="E14" s="3" t="b">
        <f t="shared" ref="E14:E19" si="4">AND(A14,B14,NOT(C14))</f>
        <v>1</v>
      </c>
      <c r="F14" s="3" t="b">
        <f t="shared" ref="F14:F19" si="5">AND(A14,NOT(B14),NOT(C14))</f>
        <v>0</v>
      </c>
      <c r="G14" s="3" t="b">
        <f t="shared" ref="G14:G19" si="6">AND(NOT(A14),NOT(B14),NOT(C14))</f>
        <v>0</v>
      </c>
      <c r="H14" s="3" t="b">
        <f t="shared" ref="H14:H19" si="7">AND(NOT(A14),NOT(B14),C14)</f>
        <v>0</v>
      </c>
      <c r="I14" s="3" t="b">
        <f t="shared" ref="I14:I19" si="8">AND(NOT(A14),B14,NOT(C14))</f>
        <v>0</v>
      </c>
      <c r="J14" s="3" t="b">
        <f>OR(D14:I14)</f>
        <v>1</v>
      </c>
    </row>
    <row r="15" spans="1:11" x14ac:dyDescent="0.3">
      <c r="A15" s="3" t="b">
        <f>TRUE</f>
        <v>1</v>
      </c>
      <c r="B15" s="3" t="b">
        <f>FALSE</f>
        <v>0</v>
      </c>
      <c r="C15" s="3" t="b">
        <f>TRUE</f>
        <v>1</v>
      </c>
      <c r="D15" s="3" t="b">
        <f t="shared" si="3"/>
        <v>0</v>
      </c>
      <c r="E15" s="3" t="b">
        <f t="shared" si="4"/>
        <v>0</v>
      </c>
      <c r="F15" s="3" t="b">
        <f t="shared" si="5"/>
        <v>0</v>
      </c>
      <c r="G15" s="3" t="b">
        <f t="shared" si="6"/>
        <v>0</v>
      </c>
      <c r="H15" s="3" t="b">
        <f t="shared" si="7"/>
        <v>0</v>
      </c>
      <c r="I15" s="3" t="b">
        <f t="shared" si="8"/>
        <v>0</v>
      </c>
      <c r="J15" s="3" t="b">
        <f t="shared" ref="J14:J19" si="9">OR(D15:I15)</f>
        <v>0</v>
      </c>
    </row>
    <row r="16" spans="1:11" x14ac:dyDescent="0.3">
      <c r="A16" s="3" t="b">
        <f>FALSE</f>
        <v>0</v>
      </c>
      <c r="B16" s="3" t="b">
        <f>FALSE</f>
        <v>0</v>
      </c>
      <c r="C16" s="3" t="b">
        <f>FALSE</f>
        <v>0</v>
      </c>
      <c r="D16" s="3" t="b">
        <f t="shared" si="3"/>
        <v>0</v>
      </c>
      <c r="E16" s="3" t="b">
        <f t="shared" si="4"/>
        <v>0</v>
      </c>
      <c r="F16" s="3" t="b">
        <f t="shared" si="5"/>
        <v>0</v>
      </c>
      <c r="G16" s="3" t="b">
        <f t="shared" si="6"/>
        <v>1</v>
      </c>
      <c r="H16" s="3" t="b">
        <f t="shared" si="7"/>
        <v>0</v>
      </c>
      <c r="I16" s="3" t="b">
        <f t="shared" si="8"/>
        <v>0</v>
      </c>
      <c r="J16" s="3" t="b">
        <f t="shared" si="9"/>
        <v>1</v>
      </c>
    </row>
    <row r="17" spans="1:10" x14ac:dyDescent="0.3">
      <c r="A17" s="3" t="b">
        <f>FALSE</f>
        <v>0</v>
      </c>
      <c r="B17" s="3" t="b">
        <f>FALSE</f>
        <v>0</v>
      </c>
      <c r="C17" s="3" t="b">
        <f>TRUE</f>
        <v>1</v>
      </c>
      <c r="D17" s="3" t="b">
        <f t="shared" si="3"/>
        <v>0</v>
      </c>
      <c r="E17" s="3" t="b">
        <f t="shared" si="4"/>
        <v>0</v>
      </c>
      <c r="F17" s="3" t="b">
        <f t="shared" si="5"/>
        <v>0</v>
      </c>
      <c r="G17" s="3" t="b">
        <f t="shared" si="6"/>
        <v>0</v>
      </c>
      <c r="H17" s="3" t="b">
        <f t="shared" si="7"/>
        <v>1</v>
      </c>
      <c r="I17" s="3" t="b">
        <f t="shared" si="8"/>
        <v>0</v>
      </c>
      <c r="J17" s="3" t="b">
        <f t="shared" si="9"/>
        <v>1</v>
      </c>
    </row>
    <row r="18" spans="1:10" x14ac:dyDescent="0.3">
      <c r="A18" s="3" t="b">
        <f>FALSE</f>
        <v>0</v>
      </c>
      <c r="B18" s="3" t="b">
        <f>TRUE</f>
        <v>1</v>
      </c>
      <c r="C18" s="3" t="b">
        <f>FALSE</f>
        <v>0</v>
      </c>
      <c r="D18" s="3" t="b">
        <f t="shared" si="3"/>
        <v>0</v>
      </c>
      <c r="E18" s="3" t="b">
        <f t="shared" si="4"/>
        <v>0</v>
      </c>
      <c r="F18" s="3" t="b">
        <f t="shared" si="5"/>
        <v>0</v>
      </c>
      <c r="G18" s="3" t="b">
        <f t="shared" si="6"/>
        <v>0</v>
      </c>
      <c r="H18" s="3" t="b">
        <f t="shared" si="7"/>
        <v>0</v>
      </c>
      <c r="I18" s="3" t="b">
        <f t="shared" si="8"/>
        <v>1</v>
      </c>
      <c r="J18" s="3" t="b">
        <f t="shared" si="9"/>
        <v>1</v>
      </c>
    </row>
    <row r="19" spans="1:10" x14ac:dyDescent="0.3">
      <c r="A19" s="3" t="b">
        <f>FALSE</f>
        <v>0</v>
      </c>
      <c r="B19" s="3" t="b">
        <f>TRUE</f>
        <v>1</v>
      </c>
      <c r="C19" s="3" t="b">
        <f>TRUE</f>
        <v>1</v>
      </c>
      <c r="D19" s="3" t="b">
        <f t="shared" si="3"/>
        <v>0</v>
      </c>
      <c r="E19" s="3" t="b">
        <f t="shared" si="4"/>
        <v>0</v>
      </c>
      <c r="F19" s="3" t="b">
        <f t="shared" si="5"/>
        <v>0</v>
      </c>
      <c r="G19" s="3" t="b">
        <f t="shared" si="6"/>
        <v>0</v>
      </c>
      <c r="H19" s="3" t="b">
        <f t="shared" si="7"/>
        <v>0</v>
      </c>
      <c r="I19" s="3" t="b">
        <f t="shared" si="8"/>
        <v>0</v>
      </c>
      <c r="J19" s="3" t="b">
        <f t="shared" si="9"/>
        <v>0</v>
      </c>
    </row>
    <row r="21" spans="1:10" x14ac:dyDescent="0.3">
      <c r="A21" t="s">
        <v>10</v>
      </c>
      <c r="B21" s="4" t="s">
        <v>18</v>
      </c>
      <c r="C21" s="4"/>
      <c r="D21" s="4"/>
      <c r="E21" s="4"/>
    </row>
    <row r="22" spans="1:10" x14ac:dyDescent="0.3">
      <c r="A22" t="s">
        <v>0</v>
      </c>
      <c r="B22" t="s">
        <v>1</v>
      </c>
      <c r="C22" t="s">
        <v>2</v>
      </c>
      <c r="D22" t="s">
        <v>16</v>
      </c>
      <c r="E22" t="s">
        <v>19</v>
      </c>
      <c r="F22" s="4" t="s">
        <v>20</v>
      </c>
      <c r="G22" s="4"/>
    </row>
    <row r="23" spans="1:10" x14ac:dyDescent="0.3">
      <c r="A23" s="8" t="b">
        <f>TRUE</f>
        <v>1</v>
      </c>
      <c r="B23" s="8" t="b">
        <f>TRUE</f>
        <v>1</v>
      </c>
      <c r="C23" s="8" t="b">
        <f>TRUE</f>
        <v>1</v>
      </c>
      <c r="D23" t="b">
        <f>AND(NOT(A23),B23,NOT(C23))</f>
        <v>0</v>
      </c>
      <c r="E23" t="b">
        <f>AND(A23,NOT(B23),NOT(C23))</f>
        <v>0</v>
      </c>
      <c r="F23" t="b">
        <f>OR(D23,E23)</f>
        <v>0</v>
      </c>
    </row>
    <row r="24" spans="1:10" x14ac:dyDescent="0.3">
      <c r="A24" s="3" t="b">
        <f>TRUE</f>
        <v>1</v>
      </c>
      <c r="B24" s="3" t="b">
        <f>TRUE</f>
        <v>1</v>
      </c>
      <c r="C24" s="3" t="b">
        <f>FALSE</f>
        <v>0</v>
      </c>
      <c r="D24" t="b">
        <f t="shared" ref="D24:D29" si="10">AND(NOT(A24),B24,NOT(C24))</f>
        <v>0</v>
      </c>
      <c r="E24" t="b">
        <f t="shared" ref="E24:E29" si="11">AND(A24,NOT(B24),NOT(C24))</f>
        <v>0</v>
      </c>
      <c r="F24" t="b">
        <f t="shared" ref="F24:F29" si="12">OR(D24,E24)</f>
        <v>0</v>
      </c>
    </row>
    <row r="25" spans="1:10" x14ac:dyDescent="0.3">
      <c r="A25" s="3" t="b">
        <f>TRUE</f>
        <v>1</v>
      </c>
      <c r="B25" s="3" t="b">
        <f>FALSE</f>
        <v>0</v>
      </c>
      <c r="C25" s="3" t="b">
        <f>TRUE</f>
        <v>1</v>
      </c>
      <c r="D25" t="b">
        <f t="shared" si="10"/>
        <v>0</v>
      </c>
      <c r="E25" t="b">
        <f t="shared" si="11"/>
        <v>0</v>
      </c>
      <c r="F25" t="b">
        <f t="shared" si="12"/>
        <v>0</v>
      </c>
    </row>
    <row r="26" spans="1:10" x14ac:dyDescent="0.3">
      <c r="A26" s="3" t="b">
        <f>FALSE</f>
        <v>0</v>
      </c>
      <c r="B26" s="3" t="b">
        <f>FALSE</f>
        <v>0</v>
      </c>
      <c r="C26" s="3" t="b">
        <f>FALSE</f>
        <v>0</v>
      </c>
      <c r="D26" t="b">
        <f t="shared" si="10"/>
        <v>0</v>
      </c>
      <c r="E26" t="b">
        <f t="shared" si="11"/>
        <v>0</v>
      </c>
      <c r="F26" t="b">
        <f t="shared" si="12"/>
        <v>0</v>
      </c>
    </row>
    <row r="27" spans="1:10" x14ac:dyDescent="0.3">
      <c r="A27" s="3" t="b">
        <f>FALSE</f>
        <v>0</v>
      </c>
      <c r="B27" s="3" t="b">
        <f>FALSE</f>
        <v>0</v>
      </c>
      <c r="C27" s="3" t="b">
        <f>TRUE</f>
        <v>1</v>
      </c>
      <c r="D27" t="b">
        <f t="shared" si="10"/>
        <v>0</v>
      </c>
      <c r="E27" t="b">
        <f t="shared" si="11"/>
        <v>0</v>
      </c>
      <c r="F27" t="b">
        <f t="shared" si="12"/>
        <v>0</v>
      </c>
    </row>
    <row r="28" spans="1:10" x14ac:dyDescent="0.3">
      <c r="A28" s="3" t="b">
        <f>FALSE</f>
        <v>0</v>
      </c>
      <c r="B28" s="3" t="b">
        <f>TRUE</f>
        <v>1</v>
      </c>
      <c r="C28" s="3" t="b">
        <f>FALSE</f>
        <v>0</v>
      </c>
      <c r="D28" t="b">
        <f t="shared" si="10"/>
        <v>1</v>
      </c>
      <c r="E28" t="b">
        <f t="shared" si="11"/>
        <v>0</v>
      </c>
      <c r="F28" t="b">
        <f t="shared" si="12"/>
        <v>1</v>
      </c>
    </row>
    <row r="29" spans="1:10" x14ac:dyDescent="0.3">
      <c r="A29" s="3" t="b">
        <f>FALSE</f>
        <v>0</v>
      </c>
      <c r="B29" s="3" t="b">
        <f>TRUE</f>
        <v>1</v>
      </c>
      <c r="C29" s="3" t="b">
        <f>TRUE</f>
        <v>1</v>
      </c>
      <c r="D29" t="b">
        <f t="shared" si="10"/>
        <v>0</v>
      </c>
      <c r="E29" t="b">
        <f t="shared" si="11"/>
        <v>0</v>
      </c>
      <c r="F29" t="b">
        <f t="shared" si="12"/>
        <v>0</v>
      </c>
    </row>
    <row r="31" spans="1:10" x14ac:dyDescent="0.3">
      <c r="A31" t="s">
        <v>21</v>
      </c>
      <c r="B31" s="4" t="s">
        <v>22</v>
      </c>
      <c r="C31" s="4"/>
      <c r="D31" s="4"/>
      <c r="E31" s="4"/>
      <c r="F31" s="4"/>
    </row>
    <row r="32" spans="1:10" x14ac:dyDescent="0.3">
      <c r="A32" t="s">
        <v>0</v>
      </c>
      <c r="B32" t="s">
        <v>1</v>
      </c>
      <c r="C32" t="s">
        <v>2</v>
      </c>
      <c r="D32" t="s">
        <v>23</v>
      </c>
      <c r="E32" t="s">
        <v>24</v>
      </c>
      <c r="F32" t="s">
        <v>25</v>
      </c>
      <c r="G32" t="s">
        <v>21</v>
      </c>
    </row>
    <row r="33" spans="1:7" x14ac:dyDescent="0.3">
      <c r="A33" s="8" t="b">
        <f>TRUE</f>
        <v>1</v>
      </c>
      <c r="B33" s="8" t="b">
        <f>TRUE</f>
        <v>1</v>
      </c>
      <c r="C33" s="8" t="b">
        <f>TRUE</f>
        <v>1</v>
      </c>
      <c r="D33" t="b">
        <f>AND(A33,B33)</f>
        <v>1</v>
      </c>
      <c r="E33" t="b">
        <f>AND(NOT(A33),NOT(B33))</f>
        <v>0</v>
      </c>
      <c r="F33" t="b">
        <f>AND(NOT(A33),B33,NOT(C33))</f>
        <v>0</v>
      </c>
      <c r="G33" t="b">
        <f>FALSE</f>
        <v>0</v>
      </c>
    </row>
    <row r="34" spans="1:7" x14ac:dyDescent="0.3">
      <c r="A34" s="3" t="b">
        <f>TRUE</f>
        <v>1</v>
      </c>
      <c r="B34" s="3" t="b">
        <f>TRUE</f>
        <v>1</v>
      </c>
      <c r="C34" s="3" t="b">
        <f>FALSE</f>
        <v>0</v>
      </c>
      <c r="D34" t="b">
        <f t="shared" ref="D34:D39" si="13">AND(A34,B34)</f>
        <v>1</v>
      </c>
      <c r="E34" t="b">
        <f t="shared" ref="E34:E39" si="14">AND(NOT(A34),NOT(B34))</f>
        <v>0</v>
      </c>
      <c r="F34" t="b">
        <f t="shared" ref="F34:F39" si="15">AND(NOT(A34),B34,NOT(C34))</f>
        <v>0</v>
      </c>
      <c r="G34" t="b">
        <f t="shared" ref="G34:G39" si="16">OR(D34:F34)</f>
        <v>1</v>
      </c>
    </row>
    <row r="35" spans="1:7" x14ac:dyDescent="0.3">
      <c r="A35" s="3" t="b">
        <f>TRUE</f>
        <v>1</v>
      </c>
      <c r="B35" s="3" t="b">
        <f>FALSE</f>
        <v>0</v>
      </c>
      <c r="C35" s="3" t="b">
        <f>TRUE</f>
        <v>1</v>
      </c>
      <c r="D35" t="b">
        <f t="shared" si="13"/>
        <v>0</v>
      </c>
      <c r="E35" t="b">
        <f t="shared" si="14"/>
        <v>0</v>
      </c>
      <c r="F35" t="b">
        <f t="shared" si="15"/>
        <v>0</v>
      </c>
      <c r="G35" t="b">
        <f t="shared" si="16"/>
        <v>0</v>
      </c>
    </row>
    <row r="36" spans="1:7" x14ac:dyDescent="0.3">
      <c r="A36" s="3" t="b">
        <f>FALSE</f>
        <v>0</v>
      </c>
      <c r="B36" s="3" t="b">
        <f>FALSE</f>
        <v>0</v>
      </c>
      <c r="C36" s="3" t="b">
        <f>FALSE</f>
        <v>0</v>
      </c>
      <c r="D36" t="b">
        <f t="shared" si="13"/>
        <v>0</v>
      </c>
      <c r="E36" t="b">
        <f t="shared" si="14"/>
        <v>1</v>
      </c>
      <c r="F36" t="b">
        <f t="shared" si="15"/>
        <v>0</v>
      </c>
      <c r="G36" t="b">
        <f t="shared" si="16"/>
        <v>1</v>
      </c>
    </row>
    <row r="37" spans="1:7" x14ac:dyDescent="0.3">
      <c r="A37" s="3" t="b">
        <f>FALSE</f>
        <v>0</v>
      </c>
      <c r="B37" s="3" t="b">
        <f>FALSE</f>
        <v>0</v>
      </c>
      <c r="C37" s="3" t="b">
        <f>TRUE</f>
        <v>1</v>
      </c>
      <c r="D37" t="b">
        <f t="shared" si="13"/>
        <v>0</v>
      </c>
      <c r="E37" t="b">
        <f t="shared" si="14"/>
        <v>1</v>
      </c>
      <c r="F37" t="b">
        <f t="shared" si="15"/>
        <v>0</v>
      </c>
      <c r="G37" t="b">
        <f t="shared" si="16"/>
        <v>1</v>
      </c>
    </row>
    <row r="38" spans="1:7" x14ac:dyDescent="0.3">
      <c r="A38" s="3" t="b">
        <f>FALSE</f>
        <v>0</v>
      </c>
      <c r="B38" s="3" t="b">
        <f>TRUE</f>
        <v>1</v>
      </c>
      <c r="C38" s="3" t="b">
        <f>FALSE</f>
        <v>0</v>
      </c>
      <c r="D38" t="b">
        <f t="shared" si="13"/>
        <v>0</v>
      </c>
      <c r="E38" t="b">
        <f t="shared" si="14"/>
        <v>0</v>
      </c>
      <c r="F38" t="b">
        <f t="shared" si="15"/>
        <v>1</v>
      </c>
      <c r="G38" t="b">
        <f t="shared" si="16"/>
        <v>1</v>
      </c>
    </row>
    <row r="39" spans="1:7" x14ac:dyDescent="0.3">
      <c r="A39" s="3" t="b">
        <f>FALSE</f>
        <v>0</v>
      </c>
      <c r="B39" s="3" t="b">
        <f>TRUE</f>
        <v>1</v>
      </c>
      <c r="C39" s="3" t="b">
        <f>TRUE</f>
        <v>1</v>
      </c>
      <c r="D39" t="b">
        <f t="shared" si="13"/>
        <v>0</v>
      </c>
      <c r="E39" t="b">
        <f t="shared" si="14"/>
        <v>0</v>
      </c>
      <c r="F39" t="b">
        <f t="shared" si="15"/>
        <v>0</v>
      </c>
      <c r="G39" t="b">
        <f t="shared" si="16"/>
        <v>0</v>
      </c>
    </row>
    <row r="41" spans="1:7" x14ac:dyDescent="0.3">
      <c r="A41" t="s">
        <v>26</v>
      </c>
      <c r="B41" t="s">
        <v>27</v>
      </c>
    </row>
    <row r="42" spans="1:7" x14ac:dyDescent="0.3">
      <c r="A42" t="s">
        <v>0</v>
      </c>
      <c r="B42" t="s">
        <v>1</v>
      </c>
      <c r="C42" t="s">
        <v>2</v>
      </c>
      <c r="D42" t="s">
        <v>28</v>
      </c>
      <c r="E42" t="s">
        <v>29</v>
      </c>
    </row>
    <row r="43" spans="1:7" x14ac:dyDescent="0.3">
      <c r="A43" s="8" t="b">
        <f>TRUE</f>
        <v>1</v>
      </c>
      <c r="B43" s="8" t="b">
        <f>TRUE</f>
        <v>1</v>
      </c>
      <c r="C43" s="8" t="b">
        <f>TRUE</f>
        <v>1</v>
      </c>
      <c r="D43" t="b">
        <f>OR(A43:B43)</f>
        <v>1</v>
      </c>
      <c r="E43" t="b">
        <f>AND(NOT(C43),D43)</f>
        <v>0</v>
      </c>
    </row>
    <row r="44" spans="1:7" x14ac:dyDescent="0.3">
      <c r="A44" s="3" t="b">
        <f>TRUE</f>
        <v>1</v>
      </c>
      <c r="B44" s="3" t="b">
        <f>TRUE</f>
        <v>1</v>
      </c>
      <c r="C44" s="3" t="b">
        <f>FALSE</f>
        <v>0</v>
      </c>
      <c r="D44" t="b">
        <f t="shared" ref="D44:D49" si="17">OR(A44:B44)</f>
        <v>1</v>
      </c>
      <c r="E44" t="b">
        <f>FALSE</f>
        <v>0</v>
      </c>
    </row>
    <row r="45" spans="1:7" x14ac:dyDescent="0.3">
      <c r="A45" s="3" t="b">
        <f>TRUE</f>
        <v>1</v>
      </c>
      <c r="B45" s="3" t="b">
        <f>FALSE</f>
        <v>0</v>
      </c>
      <c r="C45" s="3" t="b">
        <f>TRUE</f>
        <v>1</v>
      </c>
      <c r="D45" t="b">
        <f t="shared" si="17"/>
        <v>1</v>
      </c>
      <c r="E45" t="b">
        <f t="shared" ref="E44:E49" si="18">AND(NOT(C45),D45)</f>
        <v>0</v>
      </c>
    </row>
    <row r="46" spans="1:7" x14ac:dyDescent="0.3">
      <c r="A46" s="3" t="b">
        <f>FALSE</f>
        <v>0</v>
      </c>
      <c r="B46" s="3" t="b">
        <f>FALSE</f>
        <v>0</v>
      </c>
      <c r="C46" s="3" t="b">
        <f>FALSE</f>
        <v>0</v>
      </c>
      <c r="D46" t="b">
        <f t="shared" si="17"/>
        <v>0</v>
      </c>
      <c r="E46" t="b">
        <f t="shared" si="18"/>
        <v>0</v>
      </c>
    </row>
    <row r="47" spans="1:7" x14ac:dyDescent="0.3">
      <c r="A47" s="3" t="b">
        <f>FALSE</f>
        <v>0</v>
      </c>
      <c r="B47" s="3" t="b">
        <f>FALSE</f>
        <v>0</v>
      </c>
      <c r="C47" s="3" t="b">
        <f>TRUE</f>
        <v>1</v>
      </c>
      <c r="D47" t="b">
        <f t="shared" si="17"/>
        <v>0</v>
      </c>
      <c r="E47" t="b">
        <f t="shared" si="18"/>
        <v>0</v>
      </c>
    </row>
    <row r="48" spans="1:7" x14ac:dyDescent="0.3">
      <c r="A48" s="3" t="b">
        <f>FALSE</f>
        <v>0</v>
      </c>
      <c r="B48" s="3" t="b">
        <f>TRUE</f>
        <v>1</v>
      </c>
      <c r="C48" s="3" t="b">
        <f>FALSE</f>
        <v>0</v>
      </c>
      <c r="D48" t="b">
        <f t="shared" si="17"/>
        <v>1</v>
      </c>
      <c r="E48" t="b">
        <f t="shared" si="18"/>
        <v>1</v>
      </c>
    </row>
    <row r="49" spans="1:5" x14ac:dyDescent="0.3">
      <c r="A49" s="3" t="b">
        <f>FALSE</f>
        <v>0</v>
      </c>
      <c r="B49" s="3" t="b">
        <f>TRUE</f>
        <v>1</v>
      </c>
      <c r="C49" s="3" t="b">
        <f>TRUE</f>
        <v>1</v>
      </c>
      <c r="D49" t="b">
        <f t="shared" si="17"/>
        <v>1</v>
      </c>
      <c r="E49" t="b">
        <f t="shared" si="18"/>
        <v>0</v>
      </c>
    </row>
  </sheetData>
  <mergeCells count="5">
    <mergeCell ref="B11:H11"/>
    <mergeCell ref="J12:K12"/>
    <mergeCell ref="B21:E21"/>
    <mergeCell ref="F22:G22"/>
    <mergeCell ref="B31:F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Debankov</dc:creator>
  <cp:lastModifiedBy>Debankov</cp:lastModifiedBy>
  <dcterms:created xsi:type="dcterms:W3CDTF">2015-06-05T18:19:34Z</dcterms:created>
  <dcterms:modified xsi:type="dcterms:W3CDTF">2025-12-14T09:05:46Z</dcterms:modified>
</cp:coreProperties>
</file>